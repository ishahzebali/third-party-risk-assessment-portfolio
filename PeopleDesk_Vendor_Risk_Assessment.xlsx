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5560c9e487141c0" /></Relationships>
</file>

<file path=xl/workbook.xml><?xml version="1.0" encoding="utf-8"?>
<x:workbook xmlns:x="http://schemas.openxmlformats.org/spreadsheetml/2006/main">
  <x:sheets>
    <x:sheet xmlns:r="http://schemas.openxmlformats.org/officeDocument/2006/relationships" name="Overview" sheetId="1" r:id="R4f123299d38b4b33"/>
    <x:sheet xmlns:r="http://schemas.openxmlformats.org/officeDocument/2006/relationships" name="Criteria and Scope" sheetId="2" r:id="Raae532e38b7946ec"/>
    <x:sheet xmlns:r="http://schemas.openxmlformats.org/officeDocument/2006/relationships" name="Inherent Tier" sheetId="3" r:id="Re4e0e90a404c4cfc"/>
    <x:sheet xmlns:r="http://schemas.openxmlformats.org/officeDocument/2006/relationships" name="Questionnaire" sheetId="4" r:id="Rc135fc868b854c89"/>
    <x:sheet xmlns:r="http://schemas.openxmlformats.org/officeDocument/2006/relationships" name="Evidence Review" sheetId="5" r:id="Rb7e6062e70e54e17"/>
    <x:sheet xmlns:r="http://schemas.openxmlformats.org/officeDocument/2006/relationships" name="Findings" sheetId="6" r:id="Re3a5e463580e40fa"/>
    <x:sheet xmlns:r="http://schemas.openxmlformats.org/officeDocument/2006/relationships" name="Scoring Rationale" sheetId="7" r:id="R22337632d3de499a"/>
    <x:sheet xmlns:r="http://schemas.openxmlformats.org/officeDocument/2006/relationships" name="Treatment Plan" sheetId="8" r:id="R5536a1f7269d415b"/>
    <x:sheet xmlns:r="http://schemas.openxmlformats.org/officeDocument/2006/relationships" name="Decision Gates" sheetId="9" r:id="R3174004432644013"/>
    <x:sheet xmlns:r="http://schemas.openxmlformats.org/officeDocument/2006/relationships" name="Supplier Mapping" sheetId="10" r:id="R48d7da22b2ed44f8"/>
    <x:sheet xmlns:r="http://schemas.openxmlformats.org/officeDocument/2006/relationships" name="Sources" sheetId="11" r:id="Rc6944f03dd8c49e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0">
    <x:font>
      <x:sz val="11"/>
      <x:name val="Carlito"/>
    </x:font>
    <x:font>
      <x:sz val="11"/>
      <x:name val="Calibri"/>
    </x:font>
    <x:font>
      <x:sz val="11"/>
      <x:color rgb="FF193748"/>
      <x:name val="Calibri"/>
    </x:font>
    <x:font>
      <x:sz val="11"/>
      <x:color rgb="FFFFFFFF"/>
      <x:name val="Calibri"/>
    </x:font>
    <x:font>
      <x:sz val="20"/>
      <x:color rgb="FFFFFFFF"/>
      <x:name val="Calibri"/>
    </x:font>
    <x:font>
      <x:sz val="11"/>
      <x:color rgb="FF547783"/>
      <x:name val="Calibri"/>
    </x:font>
    <x:font>
      <x:b/>
      <x:sz val="11"/>
      <x:color rgb="FF193748"/>
      <x:name val="Calibri"/>
    </x:font>
    <x:font>
      <x:sz val="11"/>
      <x:color rgb="FF1762B0"/>
      <x:name val="Calibri"/>
    </x:font>
    <x:font>
      <x:sz val="11"/>
      <x:color rgb="FF111111"/>
      <x:name val="Carlito"/>
    </x:font>
    <x:font>
      <x:sz val="11"/>
      <x:color rgb="FF111111"/>
      <x:name val="Calibri"/>
    </x:font>
  </x:fonts>
  <x:fills count="5">
    <x:fill>
      <x:patternFill patternType="none"/>
    </x:fill>
    <x:fill>
      <x:patternFill patternType="gray125"/>
    </x:fill>
    <x:fill>
      <x:patternFill patternType="solid">
        <x:fgColor rgb="FF173E4D"/>
      </x:patternFill>
    </x:fill>
    <x:fill>
      <x:patternFill patternType="solid">
        <x:fgColor rgb="FFD9EAE9"/>
      </x:patternFill>
    </x:fill>
    <x:fill>
      <x:patternFill patternType="solid">
        <x:fgColor rgb="FFF2F6F8"/>
      </x:patternFill>
    </x:fill>
  </x:fills>
  <x:borders count="1">
    <x:border/>
  </x:borders>
  <x:cellStyleXfs count="1">
    <x:xf numFmtId="0" fontId="0" fillId="0" borderId="0"/>
  </x:cellStyleXfs>
  <x:cellXfs count="19">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7" fillId="4"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8" fillId="0" borderId="0" xfId="0" applyNumberFormat="1" applyFont="1" applyFill="1" applyBorder="1"/>
    <x:xf numFmtId="200" fontId="2" fillId="4"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0" fontId="9" fillId="4" borderId="0" xfId="0" applyNumberFormat="1" applyFont="1" applyFill="1" applyBorder="1" applyAlignment="1">
      <x:alignment vertical="top" wrapText="1"/>
    </x:xf>
    <x:xf numFmtId="0" fontId="9" fillId="0" borderId="0" xfId="0" applyNumberFormat="1" applyFont="1" applyFill="1" applyBorder="1" applyAlignment="1">
      <x:alignment vertical="top" wrapText="1"/>
    </x:xf>
  </x:cellXfs>
  <x:cellStyles count="1">
    <x:cellStyle name="Normal" xfId="0"/>
  </x:cellStyles>
  <x:dxfs count="16">
    <x:dxf>
      <x:fill>
        <x:patternFill patternType="solid">
          <x:bgColor rgb="FFDDEFE5"/>
        </x:patternFill>
      </x:fill>
    </x:dxf>
    <x:dxf>
      <x:fill>
        <x:patternFill patternType="solid">
          <x:bgColor rgb="FFFFF1CA"/>
        </x:patternFill>
      </x:fill>
    </x:dxf>
    <x:dxf>
      <x:fill>
        <x:patternFill patternType="solid">
          <x:bgColor rgb="FFF9DEC8"/>
        </x:patternFill>
      </x:fill>
    </x:dxf>
    <x:dxf>
      <x:fill>
        <x:patternFill patternType="solid">
          <x:bgColor rgb="FFF5D5DC"/>
        </x:patternFill>
      </x:fill>
    </x:dxf>
    <x:dxf>
      <x:fill>
        <x:patternFill patternType="solid">
          <x:bgColor rgb="FFDDEFE5"/>
        </x:patternFill>
      </x:fill>
    </x:dxf>
    <x:dxf>
      <x:fill>
        <x:patternFill patternType="solid">
          <x:bgColor rgb="FFFFF1CA"/>
        </x:patternFill>
      </x:fill>
    </x:dxf>
    <x:dxf>
      <x:fill>
        <x:patternFill patternType="solid">
          <x:bgColor rgb="FFF9DEC8"/>
        </x:patternFill>
      </x:fill>
    </x:dxf>
    <x:dxf>
      <x:fill>
        <x:patternFill patternType="solid">
          <x:bgColor rgb="FFF5D5DC"/>
        </x:patternFill>
      </x:fill>
    </x:dxf>
    <x:dxf>
      <x:fill>
        <x:patternFill patternType="solid">
          <x:bgColor rgb="FFDDEFE5"/>
        </x:patternFill>
      </x:fill>
    </x:dxf>
    <x:dxf>
      <x:fill>
        <x:patternFill patternType="solid">
          <x:bgColor rgb="FFFFF1CA"/>
        </x:patternFill>
      </x:fill>
    </x:dxf>
    <x:dxf>
      <x:fill>
        <x:patternFill patternType="solid">
          <x:bgColor rgb="FFF9DEC8"/>
        </x:patternFill>
      </x:fill>
    </x:dxf>
    <x:dxf>
      <x:fill>
        <x:patternFill patternType="solid">
          <x:bgColor rgb="FFF5D5DC"/>
        </x:patternFill>
      </x:fill>
    </x:dxf>
    <x:dxf>
      <x:fill>
        <x:patternFill patternType="solid">
          <x:bgColor rgb="FFDDEFE5"/>
        </x:patternFill>
      </x:fill>
    </x:dxf>
    <x:dxf>
      <x:fill>
        <x:patternFill patternType="solid">
          <x:bgColor rgb="FFFFF1CA"/>
        </x:patternFill>
      </x:fill>
    </x:dxf>
    <x:dxf>
      <x:fill>
        <x:patternFill patternType="solid">
          <x:bgColor rgb="FFF9DEC8"/>
        </x:patternFill>
      </x:fill>
    </x:dxf>
    <x:dxf>
      <x:fill>
        <x:patternFill patternType="solid">
          <x:bgColor rgb="FFF5D5D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d383a6a0694324" /><Relationship Type="http://schemas.openxmlformats.org/officeDocument/2006/relationships/theme" Target="/xl/theme/theme1.xml" Id="R636fbb6b3dc3431d" /><Relationship Type="http://schemas.openxmlformats.org/officeDocument/2006/relationships/sharedStrings" Target="/xl/sharedStrings.xml" Id="Raf8601d04c77463a" /><Relationship Type="http://schemas.openxmlformats.org/officeDocument/2006/relationships/worksheet" Target="/xl/worksheets/sheet1.xml" Id="R4f123299d38b4b33" /><Relationship Type="http://schemas.openxmlformats.org/officeDocument/2006/relationships/worksheet" Target="/xl/worksheets/sheet2.xml" Id="Raae532e38b7946ec" /><Relationship Type="http://schemas.openxmlformats.org/officeDocument/2006/relationships/worksheet" Target="/xl/worksheets/sheet3.xml" Id="Re4e0e90a404c4cfc" /><Relationship Type="http://schemas.openxmlformats.org/officeDocument/2006/relationships/worksheet" Target="/xl/worksheets/sheet4.xml" Id="Rc135fc868b854c89" /><Relationship Type="http://schemas.openxmlformats.org/officeDocument/2006/relationships/worksheet" Target="/xl/worksheets/sheet5.xml" Id="Rb7e6062e70e54e17" /><Relationship Type="http://schemas.openxmlformats.org/officeDocument/2006/relationships/worksheet" Target="/xl/worksheets/sheet6.xml" Id="Re3a5e463580e40fa" /><Relationship Type="http://schemas.openxmlformats.org/officeDocument/2006/relationships/worksheet" Target="/xl/worksheets/sheet7.xml" Id="R22337632d3de499a" /><Relationship Type="http://schemas.openxmlformats.org/officeDocument/2006/relationships/worksheet" Target="/xl/worksheets/sheet8.xml" Id="R5536a1f7269d415b" /><Relationship Type="http://schemas.openxmlformats.org/officeDocument/2006/relationships/worksheet" Target="/xl/worksheets/sheet9.xml" Id="R3174004432644013" /><Relationship Type="http://schemas.openxmlformats.org/officeDocument/2006/relationships/worksheet" Target="/xl/worksheets/sheet10.xml" Id="R48d7da22b2ed44f8" /><Relationship Type="http://schemas.openxmlformats.org/officeDocument/2006/relationships/worksheet" Target="/xl/worksheets/sheet11.xml" Id="Rc6944f03dd8c49ec" /></Relationships>
</file>

<file path=xl/tables/table1.xml><?xml version="1.0" encoding="utf-8"?>
<x:table xmlns:x="http://schemas.openxmlformats.org/spreadsheetml/2006/main" id="1" name="InherentTierTable" displayName="InherentTierTable" ref="A4:C12" headerRowCount="1" totalsRowCount="0" totalsRowShown="0">
  <x:tableColumns count="3">
    <x:tableColumn id="1" name="Exposure factor"/>
    <x:tableColumn id="2" name="Rating 1–4"/>
    <x:tableColumn id="3" name="Reason"/>
  </x:tableColumns>
  <x:tableStyleInfo name="TableStyleMedium2" showFirstColumn="0" showLastColumn="0" showRowStripes="1" showColumnStripes="0"/>
</x:table>
</file>

<file path=xl/tables/table2.xml><?xml version="1.0" encoding="utf-8"?>
<x:table xmlns:x="http://schemas.openxmlformats.org/spreadsheetml/2006/main" id="2" name="QuestionnaireTable" displayName="QuestionnaireTable" ref="A4:G52" headerRowCount="1" totalsRowCount="0" totalsRowShown="0">
  <x:tableColumns count="7">
    <x:tableColumn id="1" name="Question ID"/>
    <x:tableColumn id="2" name="Domain"/>
    <x:tableColumn id="3" name="Question"/>
    <x:tableColumn id="4" name="Scenario response"/>
    <x:tableColumn id="5" name="Evidence ID"/>
    <x:tableColumn id="6" name="Scenario assessment"/>
    <x:tableColumn id="7" name="Related findings"/>
  </x:tableColumns>
  <x:tableStyleInfo name="TableStyleMedium2" showFirstColumn="0" showLastColumn="0" showRowStripes="1" showColumnStripes="0"/>
</x:table>
</file>

<file path=xl/tables/table3.xml><?xml version="1.0" encoding="utf-8"?>
<x:table xmlns:x="http://schemas.openxmlformats.org/spreadsheetml/2006/main" id="3" name="EvidenceReviewTable" displayName="EvidenceReviewTable" ref="A4:J28" headerRowCount="1" totalsRowCount="0" totalsRowShown="0">
  <x:tableColumns count="10">
    <x:tableColumn id="1" name="Evidence ID"/>
    <x:tableColumn id="2" name="Questions"/>
    <x:tableColumn id="3" name="Vendor claim (scenario)"/>
    <x:tableColumn id="4" name="Evidence required"/>
    <x:tableColumn id="5" name="Simulated received status"/>
    <x:tableColumn id="6" name="Simulated assessment / rationale"/>
    <x:tableColumn id="7" name="Actual evidence state"/>
    <x:tableColumn id="8" name="Findings"/>
    <x:tableColumn id="9" name="Reviewer (fictional)"/>
    <x:tableColumn id="10" name="Scenario review date"/>
  </x:tableColumns>
  <x:tableStyleInfo name="TableStyleMedium2" showFirstColumn="0" showLastColumn="0" showRowStripes="1" showColumnStripes="0"/>
</x:table>
</file>

<file path=xl/tables/table4.xml><?xml version="1.0" encoding="utf-8"?>
<x:table xmlns:x="http://schemas.openxmlformats.org/spreadsheetml/2006/main" id="4" name="FindingsTable" displayName="FindingsTable" ref="A4:R12" headerRowCount="1" totalsRowCount="0" totalsRowShown="0">
  <x:tableColumns count="18">
    <x:tableColumn id="1" name="Finding ID"/>
    <x:tableColumn id="2" name="Finding"/>
    <x:tableColumn id="3" name="Gap type"/>
    <x:tableColumn id="4" name="Evidence IDs"/>
    <x:tableColumn id="5" name="Risk statement"/>
    <x:tableColumn id="6" name="Current L"/>
    <x:tableColumn id="7" name="Current I"/>
    <x:tableColumn id="8" name="Current score"/>
    <x:tableColumn id="9" name="Severity"/>
    <x:tableColumn id="10" name="Existing controls (assumed)"/>
    <x:tableColumn id="11" name="Projected L"/>
    <x:tableColumn id="12" name="Projected I"/>
    <x:tableColumn id="13" name="Projected score"/>
    <x:tableColumn id="14" name="Projected band"/>
    <x:tableColumn id="15" name="Status"/>
    <x:tableColumn id="16" name="Northstar risk owner"/>
    <x:tableColumn id="17" name="Decision gate"/>
    <x:tableColumn id="18" name="Supplier references"/>
  </x:tableColumns>
  <x:tableStyleInfo name="TableStyleMedium2" showFirstColumn="0" showLastColumn="0" showRowStripes="1" showColumnStripes="0"/>
</x:table>
</file>

<file path=xl/tables/table5.xml><?xml version="1.0" encoding="utf-8"?>
<x:table xmlns:x="http://schemas.openxmlformats.org/spreadsheetml/2006/main" id="5" name="ScoringRationaleTable" displayName="ScoringRationaleTable" ref="A4:D12" headerRowCount="1" totalsRowCount="0" totalsRowShown="0">
  <x:tableColumns count="4">
    <x:tableColumn id="1" name="Finding ID"/>
    <x:tableColumn id="2" name="Current L / I rationale"/>
    <x:tableColumn id="3" name="Projected L / I rationale"/>
    <x:tableColumn id="4" name="Evidence confidence"/>
  </x:tableColumns>
  <x:tableStyleInfo name="TableStyleMedium2" showFirstColumn="0" showLastColumn="0" showRowStripes="1" showColumnStripes="0"/>
</x:table>
</file>

<file path=xl/tables/table6.xml><?xml version="1.0" encoding="utf-8"?>
<x:table xmlns:x="http://schemas.openxmlformats.org/spreadsheetml/2006/main" id="6" name="TreatmentPlanTable" displayName="TreatmentPlanTable" ref="A4:L12" headerRowCount="1" totalsRowCount="0" totalsRowShown="0">
  <x:tableColumns count="12">
    <x:tableColumn id="1" name="Finding ID"/>
    <x:tableColumn id="2" name="Current score"/>
    <x:tableColumn id="3" name="Treatment / action"/>
    <x:tableColumn id="4" name="Vendor delivery owner"/>
    <x:tableColumn id="5" name="Northstar risk owner"/>
    <x:tableColumn id="6" name="Target date"/>
    <x:tableColumn id="7" name="Decision gate"/>
    <x:tableColumn id="8" name="Closure evidence required"/>
    <x:tableColumn id="9" name="Projected score"/>
    <x:tableColumn id="10" name="Projected band"/>
    <x:tableColumn id="11" name="Status"/>
    <x:tableColumn id="12" name="Acceptance state"/>
  </x:tableColumns>
  <x:tableStyleInfo name="TableStyleMedium2" showFirstColumn="0" showLastColumn="0" showRowStripes="1" showColumnStripes="0"/>
</x:table>
</file>

<file path=xl/tables/table7.xml><?xml version="1.0" encoding="utf-8"?>
<x:table xmlns:x="http://schemas.openxmlformats.org/spreadsheetml/2006/main" id="7" name="DecisionGatesTable" displayName="DecisionGatesTable" ref="A4:F10" headerRowCount="1" totalsRowCount="0" totalsRowShown="0">
  <x:tableColumns count="6">
    <x:tableColumn id="1" name="Gate ID"/>
    <x:tableColumn id="2" name="Related findings"/>
    <x:tableColumn id="3" name="Decision point"/>
    <x:tableColumn id="4" name="Required condition"/>
    <x:tableColumn id="5" name="Approver / reviewer (fictional)"/>
    <x:tableColumn id="6" name="Decision state"/>
  </x:tableColumns>
  <x:tableStyleInfo name="TableStyleMedium2" showFirstColumn="0" showLastColumn="0" showRowStripes="1" showColumnStripes="0"/>
</x:table>
</file>

<file path=xl/tables/table8.xml><?xml version="1.0" encoding="utf-8"?>
<x:table xmlns:x="http://schemas.openxmlformats.org/spreadsheetml/2006/main" id="8" name="SupplierMappingTable" displayName="SupplierMappingTable" ref="A4:D9" headerRowCount="1" totalsRowCount="0" totalsRowShown="0">
  <x:tableColumns count="4">
    <x:tableColumn id="1" name="Annex A ID"/>
    <x:tableColumn id="2" name="Project label (paraphrase)"/>
    <x:tableColumn id="3" name="Application to this assessment"/>
    <x:tableColumn id="4" name="Related findings"/>
  </x:tableColumns>
  <x:tableStyleInfo name="TableStyleMedium2" showFirstColumn="0" showLastColumn="0" showRowStripes="1" showColumnStripes="0"/>
</x:table>
</file>

<file path=xl/tables/table9.xml><?xml version="1.0" encoding="utf-8"?>
<x:table xmlns:x="http://schemas.openxmlformats.org/spreadsheetml/2006/main" id="9" name="SourcesTable" displayName="SourcesTable" ref="A4:D7" headerRowCount="1" totalsRowCount="0" totalsRowShown="0">
  <x:tableColumns count="4">
    <x:tableColumn id="1" name="ID"/>
    <x:tableColumn id="2" name="Source"/>
    <x:tableColumn id="3" name="URL / provenance"/>
    <x:tableColumn id="4" name="Use and limi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933b80a1e2b34de6" /></Relationships>
</file>

<file path=xl/worksheets/_rels/sheet4.xml.rels>&#65279;<?xml version="1.0" encoding="utf-8"?><Relationships xmlns="http://schemas.openxmlformats.org/package/2006/relationships"><Relationship Type="http://schemas.openxmlformats.org/officeDocument/2006/relationships/table" Target="/xl/tables/table2.xml" Id="Ra44315168af9408c" /></Relationships>
</file>

<file path=xl/worksheets/_rels/sheet5.xml.rels>&#65279;<?xml version="1.0" encoding="utf-8"?><Relationships xmlns="http://schemas.openxmlformats.org/package/2006/relationships"><Relationship Type="http://schemas.openxmlformats.org/officeDocument/2006/relationships/table" Target="/xl/tables/table3.xml" Id="R4c6c61c728ee40f6" /></Relationships>
</file>

<file path=xl/worksheets/_rels/sheet6.xml.rels>&#65279;<?xml version="1.0" encoding="utf-8"?><Relationships xmlns="http://schemas.openxmlformats.org/package/2006/relationships"><Relationship Type="http://schemas.openxmlformats.org/officeDocument/2006/relationships/table" Target="/xl/tables/table4.xml" Id="R84235d4a22f64d06" /></Relationships>
</file>

<file path=xl/worksheets/_rels/sheet7.xml.rels>&#65279;<?xml version="1.0" encoding="utf-8"?><Relationships xmlns="http://schemas.openxmlformats.org/package/2006/relationships"><Relationship Type="http://schemas.openxmlformats.org/officeDocument/2006/relationships/table" Target="/xl/tables/table5.xml" Id="R2277fdd9a8804e4f" /></Relationships>
</file>

<file path=xl/worksheets/_rels/sheet8.xml.rels>&#65279;<?xml version="1.0" encoding="utf-8"?><Relationships xmlns="http://schemas.openxmlformats.org/package/2006/relationships"><Relationship Type="http://schemas.openxmlformats.org/officeDocument/2006/relationships/table" Target="/xl/tables/table6.xml" Id="Reaa166518f9947df" /></Relationships>
</file>

<file path=xl/worksheets/_rels/sheet9.xml.rels>&#65279;<?xml version="1.0" encoding="utf-8"?><Relationships xmlns="http://schemas.openxmlformats.org/package/2006/relationships"><Relationship Type="http://schemas.openxmlformats.org/officeDocument/2006/relationships/table" Target="/xl/tables/table7.xml" Id="R9110846c3bd54ecb" /></Relationships>
</file>

<file path=xl/worksheets/_rels/sheet10.xml.rels>&#65279;<?xml version="1.0" encoding="utf-8"?><Relationships xmlns="http://schemas.openxmlformats.org/package/2006/relationships"><Relationship Type="http://schemas.openxmlformats.org/officeDocument/2006/relationships/table" Target="/xl/tables/table8.xml" Id="R74a935e208db4597" /></Relationships>
</file>

<file path=xl/worksheets/_rels/sheet11.xml.rels>&#65279;<?xml version="1.0" encoding="utf-8"?><Relationships xmlns="http://schemas.openxmlformats.org/package/2006/relationships"><Relationship Type="http://schemas.openxmlformats.org/officeDocument/2006/relationships/table" Target="/xl/tables/table9.xml" Id="Rf8242358321e4935"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43" hidden="0" customWidth="1"/>
    <x:col min="3" max="3" width="98" hidden="0" customWidth="1"/>
  </x:cols>
  <x:sheetData>
    <x:row r="1" ht="36" customHeight="1">
      <x:c r="A1" s="7" t="str">
        <x:v>PEOPLEDESK | vendor risk assessment</x:v>
      </x:c>
      <x:c r="B1" s="6"/>
      <x:c r="C1" s="6"/>
    </x:row>
    <x:row r="2" ht="44" customHeight="1">
      <x:c r="A2" s="8" t="str">
        <x:v>Prepared by: Shahzeb Ali • Independent GRC Portfolio Project • Version 1.0 • 8 September 2026</x:v>
      </x:c>
      <x:c r="B2" s="4"/>
      <x:c r="C2" s="4"/>
    </x:row>
    <x:row r="3" ht="12" customHeight="1">
      <x:c r="A3" s="4"/>
      <x:c r="B3" s="4"/>
      <x:c r="C3" s="4"/>
    </x:row>
    <x:row r="4" ht="42" customHeight="1">
      <x:c r="A4" s="10" t="str">
        <x:v>Measure</x:v>
      </x:c>
      <x:c r="B4" s="10" t="str">
        <x:v>Result</x:v>
      </x:c>
      <x:c r="C4" s="10" t="str">
        <x:v>Meaning</x:v>
      </x:c>
    </x:row>
    <x:row r="5" ht="42" customHeight="1">
      <x:c r="A5" s="11" t="str">
        <x:v>Inherent vendor tier</x:v>
      </x:c>
      <x:c r="B5" s="17" t="str">
        <x:f>'Inherent Tier'!C14</x:f>
        <x:v>High</x:v>
      </x:c>
      <x:c r="C5" s="11" t="str">
        <x:v>Relationship exposure before controls; stays High even if findings are remediated.</x:v>
      </x:c>
    </x:row>
    <x:row r="6" ht="42" customHeight="1">
      <x:c r="A6" s="4" t="str">
        <x:v>Questionnaire items</x:v>
      </x:c>
      <x:c r="B6" s="18" t="n">
        <x:f>COUNTA('Questionnaire'!A5:A52)</x:f>
        <x:v>48</x:v>
      </x:c>
      <x:c r="C6" s="4" t="str">
        <x:v>48 questions across 11 domains.</x:v>
      </x:c>
    </x:row>
    <x:row r="7" ht="42" customHeight="1">
      <x:c r="A7" s="11" t="str">
        <x:v>Evidence topics</x:v>
      </x:c>
      <x:c r="B7" s="17" t="n">
        <x:f>COUNTA('Evidence Review'!A5:A28)</x:f>
        <x:v>24</x:v>
      </x:c>
      <x:c r="C7" s="11" t="str">
        <x:v>24 requests and simulated review outcomes; zero real evidence artifacts.</x:v>
      </x:c>
    </x:row>
    <x:row r="8" ht="42" customHeight="1">
      <x:c r="A8" s="4" t="str">
        <x:v>Findings</x:v>
      </x:c>
      <x:c r="B8" s="18" t="n">
        <x:f>COUNTA('Findings'!A5:A12)</x:f>
        <x:v>8</x:v>
      </x:c>
      <x:c r="C8" s="4" t="str">
        <x:v>Eight traceable findings with current and conditional projected scores.</x:v>
      </x:c>
    </x:row>
    <x:row r="9" ht="42" customHeight="1">
      <x:c r="A9" s="11" t="str">
        <x:v>High findings</x:v>
      </x:c>
      <x:c r="B9" s="17" t="n">
        <x:f>COUNTIF('Findings'!I5:I12,"High")</x:f>
        <x:v>4</x:v>
      </x:c>
      <x:c r="C9" s="11" t="str">
        <x:v>Four renewal gates: F-001, F-003, F-005 and F-006.</x:v>
      </x:c>
    </x:row>
    <x:row r="10" ht="42" customHeight="1">
      <x:c r="A10" s="4" t="str">
        <x:v>Medium findings</x:v>
      </x:c>
      <x:c r="B10" s="18" t="n">
        <x:f>COUNTIF('Findings'!I5:I12,"Medium")</x:f>
        <x:v>4</x:v>
      </x:c>
      <x:c r="C10" s="4" t="str">
        <x:v>Four dated commitments; F-007 also gates API activation.</x:v>
      </x:c>
    </x:row>
    <x:row r="11" ht="42" customHeight="1">
      <x:c r="A11" s="11" t="str">
        <x:v>Projected High/Critical</x:v>
      </x:c>
      <x:c r="B11" s="17" t="n">
        <x:f>COUNTIF('Findings'!M5:M12,"&gt;="&amp;'Criteria and Scope'!B5)</x:f>
        <x:v>0</x:v>
      </x:c>
      <x:c r="C11" s="11" t="str">
        <x:v>Conditional after verified remediation; not a current result.</x:v>
      </x:c>
    </x:row>
    <x:row r="12" ht="42" customHeight="1">
      <x:c r="A12" s="4" t="str">
        <x:v>Recommendation</x:v>
      </x:c>
      <x:c r="B12" s="4" t="str">
        <x:v>Conditional Approval</x:v>
      </x:c>
      <x:c r="C12" s="4" t="str">
        <x:v>Recommendation only; actual approval pending. Review Decision Gates before interpreting this result.</x:v>
      </x:c>
    </x:row>
    <x:row r="13" ht="42" customHeight="1">
      <x:c r="A13" s="11" t="str">
        <x:v>Read first</x:v>
      </x:c>
      <x:c r="B13" s="11" t="str">
        <x:v>Report → Tier → Evidence</x:v>
      </x:c>
      <x:c r="C13" s="11" t="str">
        <x:v>Report first two pages; then Inherent Tier, Questionnaire, Evidence Review, Findings and Treatment Plan.</x:v>
      </x:c>
    </x:row>
    <x:row r="14" ht="74" customHeight="1">
      <x:c r="A14" s="4" t="str">
        <x:v>Disclaimer</x:v>
      </x:c>
      <x:c r="B14" s="4" t="str">
        <x:v>Independent portfolio exercise based on fictional organizations. No real vendor assessment, client engagement or assurance review took place.</x:v>
      </x:c>
      <x:c r="C14" s="4" t="str">
        <x:v>This project is separate from the enterprise risk register and builds on the same fictional company.</x:v>
      </x:c>
    </x:row>
  </x:sheetData>
  <x:mergeCells>
    <x:mergeCell ref="A1:C1"/>
    <x:mergeCell ref="A2:C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1" hidden="0" customWidth="1"/>
    <x:col min="2" max="2" width="115" hidden="0" customWidth="1"/>
  </x:cols>
  <x:sheetData>
    <x:row r="1" ht="36" customHeight="1">
      <x:c r="A1" s="7" t="str">
        <x:v>Criteria, scope and scenario rules</x:v>
      </x:c>
      <x:c r="B1" s="6"/>
    </x:row>
    <x:row r="2" ht="44" customHeight="1">
      <x:c r="A2" s="8" t="str">
        <x:v>Independent portfolio exercise based on fictional organizations. No real vendor assessment, client engagement or assurance review took place.</x:v>
      </x:c>
      <x:c r="B2" s="4"/>
    </x:row>
    <x:row r="3" ht="12" customHeight="1">
      <x:c r="A3" s="4"/>
      <x:c r="B3" s="4"/>
    </x:row>
    <x:row r="4" ht="42" customHeight="1">
      <x:c r="A4" s="10" t="str">
        <x:v>Criterion</x:v>
      </x:c>
      <x:c r="B4" s="10" t="str">
        <x:v>Definition / value</x:v>
      </x:c>
    </x:row>
    <x:row r="5" ht="42" customHeight="1">
      <x:c r="A5" s="11" t="str">
        <x:v>Treatment threshold</x:v>
      </x:c>
      <x:c r="B5" s="12" t="n">
        <x:v>10</x:v>
      </x:c>
    </x:row>
    <x:row r="6" ht="42" customHeight="1">
      <x:c r="A6" s="4" t="str">
        <x:v>Low maximum</x:v>
      </x:c>
      <x:c r="B6" s="13" t="n">
        <x:v>4</x:v>
      </x:c>
    </x:row>
    <x:row r="7" ht="42" customHeight="1">
      <x:c r="A7" s="11" t="str">
        <x:v>Medium maximum</x:v>
      </x:c>
      <x:c r="B7" s="12" t="n">
        <x:v>9</x:v>
      </x:c>
    </x:row>
    <x:row r="8" ht="42" customHeight="1">
      <x:c r="A8" s="4" t="str">
        <x:v>High maximum</x:v>
      </x:c>
      <x:c r="B8" s="13" t="n">
        <x:v>16</x:v>
      </x:c>
    </x:row>
    <x:row r="9" ht="42" customHeight="1">
      <x:c r="A9" s="11" t="str">
        <x:v>Disclaimer</x:v>
      </x:c>
      <x:c r="B9" s="11" t="str">
        <x:v>Independent portfolio exercise based on fictional organizations. No real vendor assessment, client engagement or assurance review took place.</x:v>
      </x:c>
    </x:row>
    <x:row r="10" ht="42" customHeight="1">
      <x:c r="A10" s="4" t="str">
        <x:v>Author / scenario</x:v>
      </x:c>
      <x:c r="B10" s="4" t="str">
        <x:v>Prepared by: Shahzeb Ali | Independent GRC Portfolio Project. Snapshot 8 September 2026. All vendor responses, review states, scores, owners and dates are fictional.</x:v>
      </x:c>
    </x:row>
    <x:row r="11" ht="58" customHeight="1">
      <x:c r="A11" s="11" t="str">
        <x:v>Relationship and scope</x:v>
      </x:c>
      <x:c r="B11" s="11" t="str">
        <x:v>Renewal assessment of PeopleDesk HR SaaS already listed as A-009 in Project 1. Processes all 50 employees’ personal information, employment, leave/absence and payroll-related records. Includes manager/employee accounts and proposed Entra API integration.</x:v>
      </x:c>
    </x:row>
    <x:row r="12" ht="58" customHeight="1">
      <x:c r="A12" s="4" t="str">
        <x:v>Boundary</x:v>
      </x:c>
      <x:c r="B12" s="4" t="str">
        <x:v>External hosting, subprocessors, data handling, customer configuration, contracts and integration are in scope. No direct Northstar admin access assumed. No real tests, report inspection or certificate verification occurred. No provider internal audit or complete ISMS assessment.</x:v>
      </x:c>
    </x:row>
    <x:row r="13" ht="90" customHeight="1">
      <x:c r="A13" s="11" t="str">
        <x:v>Tier rule (before controls)</x:v>
      </x:c>
      <x:c r="B13" s="11" t="str">
        <x:v>Relationship tier = highest exposure factor, not an average. 1 Low: public/non-sensitive data, negligible dependency and no privileged integration. 2 Moderate: limited internal data, moderate dependency or narrow integration. 3 High: sensitive employee/payroll data, broad workforce exposure, public sensitive-data service or subprocessors handling it. 4 Critical: systemic business dependency without feasible alternative, or broad tenant-wide administrative reach. Controls never reduce inherent tier.</x:v>
      </x:c>
    </x:row>
    <x:row r="14" ht="58" customHeight="1">
      <x:c r="A14" s="4" t="str">
        <x:v>Tier due diligence</x:v>
      </x:c>
      <x:c r="B14" s="4" t="str">
        <x:v>High: full questionnaire, risk-based evidence review, accountable business sponsor, security/privacy/contract review, annual reassessment and change-triggered review. Unknown data or privilege exposure must be resolved before approval; do not default unknowns to Low.</x:v>
      </x:c>
    </x:row>
    <x:row r="15" ht="42" customHeight="1">
      <x:c r="A15" s="11" t="str">
        <x:v>Likelihood over 12 months</x:v>
      </x:c>
      <x:c r="B15" s="11" t="str">
        <x:v>Chance of at least one material occurrence: 1 Rare &gt;0–5%; 2 Unlikely &gt;5–20%; 3 Possible &gt;20–50%; 4 Likely &gt;50–80%; 5 Almost certain &gt;80–100%. Ordinal judgment anchors, not observed frequencies.</x:v>
      </x:c>
    </x:row>
    <x:row r="16" ht="42" customHeight="1">
      <x:c r="A16" s="4" t="str">
        <x:v>Impact 1 / 2</x:v>
      </x:c>
      <x:c r="B16" s="4" t="str">
        <x:v>1 Negligible: non-sensitive data, trivial reversible changes, outage ≤1 hour. 2 Minor: limited internal disclosure, localized reversible errors, outage &gt;1–4 hours.</x:v>
      </x:c>
    </x:row>
    <x:row r="17" ht="42" customHeight="1">
      <x:c r="A17" s="11" t="str">
        <x:v>Impact 3</x:v>
      </x:c>
      <x:c r="B17" s="11" t="str">
        <x:v>Moderate: limited confidential disclosure, contained record repair or outage &gt;4–8 hours. A tested workaround can limit business harm despite longer technical outage; explain any such override.</x:v>
      </x:c>
    </x:row>
    <x:row r="18" ht="58" customHeight="1">
      <x:c r="A18" s="4" t="str">
        <x:v>Impact 4 / 5</x:v>
      </x:c>
      <x:c r="B18" s="4" t="str">
        <x:v>4 Major: sensitive employee/customer disclosure, significant changes or outage &gt;8–48 hours. 5 Severe: broad restricted-data exposure across customers, permanent material record loss, loss of trust in core records or outage &gt;48 hours threatening continuity.</x:v>
      </x:c>
    </x:row>
    <x:row r="19" ht="58" customHeight="1">
      <x:c r="A19" s="11" t="str">
        <x:v>Scoring rule</x:v>
      </x:c>
      <x:c r="B19" s="11" t="str">
        <x:v>Current assessed finding risk = L × I, using the highest credible CIA/business impact. Current scores consider only explicitly assumed existing safeguards, with low evidential confidence. They are separate from the vendor inherent exposure tier and Project 1’s enterprise register.</x:v>
      </x:c>
    </x:row>
    <x:row r="20" ht="58" customHeight="1">
      <x:c r="A20" s="4" t="str">
        <x:v>Projected vs achieved</x:v>
      </x:c>
      <x:c r="B20" s="4" t="str">
        <x:v>Projected score assumes actions and closure evidence pass. A promise, task status or certificate claim does not lower current risk. No achieved post-treatment score exists. Reassess current L/I only after review and owner decision.</x:v>
      </x:c>
    </x:row>
    <x:row r="21" ht="74" customHeight="1">
      <x:c r="A21" s="11" t="str">
        <x:v>Evidence rule</x:v>
      </x:c>
      <x:c r="B21" s="11" t="str">
        <x:v>Every received/reviewed state is SIMULATED narrative. No original assurance artifacts are fabricated. Design descriptions do not prove operation. Check identity, service scope, freshness (normally within 12 months or after a major change), completeness, independent validation and exceptions before crediting evidence in a real assessment. Missing evidence creates uncertainty, not proof of control failure.</x:v>
      </x:c>
    </x:row>
    <x:row r="22" ht="74" customHeight="1">
      <x:c r="A22" s="4" t="str">
        <x:v>Acceptance and escalation</x:v>
      </x:c>
      <x:c r="B22" s="4" t="str">
        <x:v>Scores ≥10 require verified treatment before renewal; scores &lt;10 require owner acceptance with Security Lead review and a dated plan. CTO signs the vendor decision. Exceptions to gates require explicit CTO escalation, rationale, interim controls and expiry ≤30 days; none granted. Critical findings would defer approval immediately.</x:v>
      </x:c>
    </x:row>
    <x:row r="23" ht="74" customHeight="1">
      <x:c r="A23" s="11" t="str">
        <x:v>Dates and current-use boundary</x:v>
      </x:c>
      <x:c r="B23" s="11" t="str">
        <x:v>Scenario renewal decision target: 8 October 2026. No automatic renewal approval is assumed. Existing operation requires a separate time-limited CTO continuity decision; if refused, use a controlled export/exit plan. No new data scope or API activation before its gate. Medium actions due 7 November 2026; failure triggers escalation.</x:v>
      </x:c>
    </x:row>
    <x:row r="24" ht="74" customHeight="1">
      <x:c r="A24" s="4" t="str">
        <x:v>Contract expectations</x:v>
      </x:c>
      <x:c r="B24" s="4" t="str">
        <x:v>Require processing purposes/locations, approved subprocessors and change/exit rights, incident trigger/notice/updates/cooperation, service recovery objectives, evidence access, deletion/return, ongoing monitoring and security responsibilities. Proposed 24-hour incident notice is a negotiation requirement, not legal advice or a statutory deadline. Applicable jurisdictions and transfer obligations are not assumed.</x:v>
      </x:c>
    </x:row>
    <x:row r="25" ht="58" customHeight="1">
      <x:c r="A25" s="11" t="str">
        <x:v>Review cadence</x:v>
      </x:c>
      <x:c r="B25" s="11" t="str">
        <x:v>Review open remediation weekly until closure. Reassess High-tier vendor annually and after incidents, scope/location/subprocessor changes, assurance expiry or major integration changes. No risks are summed into a monetary total or averaged into a compliance percentage.</x:v>
      </x:c>
    </x:row>
    <x:row r="26" ht="58" customHeight="1">
      <x:c r="A26" s="4" t="str">
        <x:v>Workbook use</x:v>
      </x:c>
      <x:c r="B26" s="4" t="str">
        <x:v>Blue scores are editable judgments. Black calculations link to criteria and finding scores. Treatment Plan is a linked view of all eight findings, including Medium commitments. Initial row ranges are fixed; extend all references and links if adding findings. Report/README are versioned snapshots.</x:v>
      </x:c>
    </x:row>
  </x:sheetData>
  <x:mergeCells>
    <x:mergeCell ref="A1:B1"/>
    <x:mergeCell ref="A2:B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95" hidden="0" customWidth="1"/>
  </x:cols>
  <x:sheetData>
    <x:row r="1" ht="36" customHeight="1">
      <x:c r="A1" s="7" t="str">
        <x:v>Vendor inherent risk assessment</x:v>
      </x:c>
      <x:c r="B1" s="6"/>
      <x:c r="C1" s="6"/>
    </x:row>
    <x:row r="2" ht="44" customHeight="1">
      <x:c r="A2" s="8" t="str">
        <x:v>PeopleDesk | Renewal of HR SaaS for all 50 employees. Tier is determined before credit for controls. All facts are scenario assumptions.</x:v>
      </x:c>
      <x:c r="B2" s="4"/>
      <x:c r="C2" s="4"/>
    </x:row>
    <x:row r="3" ht="12" customHeight="1">
      <x:c r="A3" s="4"/>
      <x:c r="B3" s="4"/>
      <x:c r="C3" s="4"/>
    </x:row>
    <x:row r="4" ht="42" customHeight="1">
      <x:c r="A4" s="10" t="str">
        <x:v>Exposure factor</x:v>
      </x:c>
      <x:c r="B4" s="10" t="str">
        <x:v>Rating 1–4</x:v>
      </x:c>
      <x:c r="C4" s="10" t="str">
        <x:v>Reason</x:v>
      </x:c>
    </x:row>
    <x:row r="5" ht="42" customHeight="1">
      <x:c r="A5" s="11" t="str">
        <x:v>Data sensitivity</x:v>
      </x:c>
      <x:c r="B5" s="12" t="n">
        <x:v>3</x:v>
      </x:c>
      <x:c r="C5" s="11" t="str">
        <x:v>Sensitive employee and payroll records.</x:v>
      </x:c>
    </x:row>
    <x:row r="6" ht="42" customHeight="1">
      <x:c r="A6" s="4" t="str">
        <x:v>Population</x:v>
      </x:c>
      <x:c r="B6" s="13" t="n">
        <x:v>3</x:v>
      </x:c>
      <x:c r="C6" s="4" t="str">
        <x:v>All 50 employees; workforce-wide exposure.</x:v>
      </x:c>
    </x:row>
    <x:row r="7" ht="42" customHeight="1">
      <x:c r="A7" s="11" t="str">
        <x:v>Service dependency</x:v>
      </x:c>
      <x:c r="B7" s="12" t="n">
        <x:v>2</x:v>
      </x:c>
      <x:c r="C7" s="11" t="str">
        <x:v>Moderate HR dependence; workarounds require validation.</x:v>
      </x:c>
    </x:row>
    <x:row r="8" ht="42" customHeight="1">
      <x:c r="A8" s="4" t="str">
        <x:v>Internet exposure</x:v>
      </x:c>
      <x:c r="B8" s="13" t="n">
        <x:v>3</x:v>
      </x:c>
      <x:c r="C8" s="4" t="str">
        <x:v>Externally hosted HR service with internet accounts.</x:v>
      </x:c>
    </x:row>
    <x:row r="9" ht="42" customHeight="1">
      <x:c r="A9" s="11" t="str">
        <x:v>Integration reach</x:v>
      </x:c>
      <x:c r="B9" s="12" t="n">
        <x:v>2</x:v>
      </x:c>
      <x:c r="C9" s="11" t="str">
        <x:v>Proposed Entra provisioning API; no direct admin access assumed.</x:v>
      </x:c>
    </x:row>
    <x:row r="10" ht="42" customHeight="1">
      <x:c r="A10" s="4" t="str">
        <x:v>Fourth parties</x:v>
      </x:c>
      <x:c r="B10" s="13" t="n">
        <x:v>3</x:v>
      </x:c>
      <x:c r="C10" s="4" t="str">
        <x:v>Subprocessors can handle sensitive employee information.</x:v>
      </x:c>
    </x:row>
    <x:row r="11" ht="42" customHeight="1">
      <x:c r="A11" s="11" t="str">
        <x:v>Privacy relevance</x:v>
      </x:c>
      <x:c r="B11" s="12" t="n">
        <x:v>3</x:v>
      </x:c>
      <x:c r="C11" s="11" t="str">
        <x:v>Personal data and onward processing.</x:v>
      </x:c>
    </x:row>
    <x:row r="12" ht="42" customHeight="1">
      <x:c r="A12" s="4" t="str">
        <x:v>Direct Northstar privilege</x:v>
      </x:c>
      <x:c r="B12" s="13" t="n">
        <x:v>1</x:v>
      </x:c>
      <x:c r="C12" s="4" t="str">
        <x:v>No Northstar administrator access assumed.</x:v>
      </x:c>
    </x:row>
    <x:row r="14">
      <x:c r="A14" t="str">
        <x:v>Relationship exposure</x:v>
      </x:c>
      <x:c r="B14" s="14" t="n">
        <x:f>MAX(B5:B12)</x:f>
        <x:v>3</x:v>
      </x:c>
      <x:c r="C14" s="14" t="str">
        <x:f>IF(B14=4,"Critical",IF(B14=3,"High",IF(B14=2,"Moderate","Low")))</x:f>
        <x:v>High</x:v>
      </x:c>
    </x:row>
  </x:sheetData>
  <x:mergeCells>
    <x:mergeCell ref="A1:C1"/>
    <x:mergeCell ref="A2:C2"/>
  </x:mergeCells>
  <x:dataValidations count="1">
    <x:dataValidation type="whole" operator="between" sqref="B5:B12">
      <x:formula1>1</x:formula1>
      <x:formula2>4</x:formula2>
    </x:dataValidation>
  </x:dataValidations>
  <x:pageMargins left="0.7" right="0.7" top="0.75" bottom="0.75" header="0.3" footer="0.3"/>
  <x:tableParts count="1">
    <x:tablePart xmlns:r="http://schemas.openxmlformats.org/officeDocument/2006/relationships" r:id="R933b80a1e2b34de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5" hidden="0" customWidth="1"/>
    <x:col min="3" max="3" width="66" hidden="0" customWidth="1"/>
    <x:col min="4" max="4" width="65" hidden="0" customWidth="1"/>
    <x:col min="5" max="5" width="14" hidden="0" customWidth="1"/>
    <x:col min="6" max="6" width="62" hidden="0" customWidth="1"/>
    <x:col min="7" max="7" width="24" hidden="0" customWidth="1"/>
  </x:cols>
  <x:sheetData>
    <x:row r="1" ht="36" customHeight="1">
      <x:c r="A1" s="7" t="str">
        <x:v>Security due-diligence questionnaire | 48 questions</x:v>
      </x:c>
      <x:c r="B1" s="6"/>
      <x:c r="C1" s="6"/>
      <x:c r="D1" s="6"/>
      <x:c r="E1" s="6"/>
      <x:c r="F1" s="6"/>
      <x:c r="G1" s="6"/>
    </x:row>
    <x:row r="2" ht="44" customHeight="1">
      <x:c r="A2" s="8" t="str">
        <x:v>Prepared by: Shahzeb Ali. Every response is a fictional scenario narrative, not an actual vendor answer. Evidence Review links requests and review limitations.</x:v>
      </x:c>
      <x:c r="B2" s="4"/>
      <x:c r="C2" s="4"/>
      <x:c r="D2" s="4"/>
      <x:c r="E2" s="4"/>
      <x:c r="F2" s="4"/>
      <x:c r="G2" s="4"/>
    </x:row>
    <x:row r="3" ht="12" customHeight="1">
      <x:c r="A3" s="4"/>
      <x:c r="B3" s="4"/>
      <x:c r="C3" s="4"/>
      <x:c r="D3" s="4"/>
      <x:c r="E3" s="4"/>
      <x:c r="F3" s="4"/>
      <x:c r="G3" s="4"/>
    </x:row>
    <x:row r="4" ht="42" customHeight="1">
      <x:c r="A4" s="10" t="str">
        <x:v>Question ID</x:v>
      </x:c>
      <x:c r="B4" s="10" t="str">
        <x:v>Domain</x:v>
      </x:c>
      <x:c r="C4" s="10" t="str">
        <x:v>Question</x:v>
      </x:c>
      <x:c r="D4" s="10" t="str">
        <x:v>Scenario response</x:v>
      </x:c>
      <x:c r="E4" s="10" t="str">
        <x:v>Evidence ID</x:v>
      </x:c>
      <x:c r="F4" s="10" t="str">
        <x:v>Scenario assessment</x:v>
      </x:c>
      <x:c r="G4" s="10" t="str">
        <x:v>Related findings</x:v>
      </x:c>
    </x:row>
    <x:row r="5" ht="42" customHeight="1">
      <x:c r="A5" s="11" t="str">
        <x:v>Q-001</x:v>
      </x:c>
      <x:c r="B5" s="11" t="str">
        <x:v>Governance</x:v>
      </x:c>
      <x:c r="C5" s="11" t="str">
        <x:v>Is a documented security program maintained?</x:v>
      </x:c>
      <x:c r="D5" s="11" t="str">
        <x:v>Scenario response: Program and security lead described</x:v>
      </x:c>
      <x:c r="E5" s="11" t="str">
        <x:v>E-01</x:v>
      </x:c>
      <x:c r="F5" s="11" t="str">
        <x:v>Design described; operation unverified</x:v>
      </x:c>
      <x:c r="G5" s="11" t="str">
        <x:v>None identified</x:v>
      </x:c>
    </x:row>
    <x:row r="6" ht="42" customHeight="1">
      <x:c r="A6" s="4" t="str">
        <x:v>Q-002</x:v>
      </x:c>
      <x:c r="B6" s="4" t="str">
        <x:v>Governance</x:v>
      </x:c>
      <x:c r="C6" s="4" t="str">
        <x:v>Who is accountable for security and escalation?</x:v>
      </x:c>
      <x:c r="D6" s="4" t="str">
        <x:v>Scenario response: Program and security lead described</x:v>
      </x:c>
      <x:c r="E6" s="4" t="str">
        <x:v>E-01</x:v>
      </x:c>
      <x:c r="F6" s="4" t="str">
        <x:v>Design described; operation unverified</x:v>
      </x:c>
      <x:c r="G6" s="4" t="str">
        <x:v>None identified</x:v>
      </x:c>
    </x:row>
    <x:row r="7" ht="42" customHeight="1">
      <x:c r="A7" s="11" t="str">
        <x:v>Q-003</x:v>
      </x:c>
      <x:c r="B7" s="11" t="str">
        <x:v>Governance</x:v>
      </x:c>
      <x:c r="C7" s="11" t="str">
        <x:v>How often are policies reviewed and approved?</x:v>
      </x:c>
      <x:c r="D7" s="11" t="str">
        <x:v>Scenario response: Annual policy and risk reviews described</x:v>
      </x:c>
      <x:c r="E7" s="11" t="str">
        <x:v>E-02</x:v>
      </x:c>
      <x:c r="F7" s="11" t="str">
        <x:v>Cadence described; dated records needed in a real review</x:v>
      </x:c>
      <x:c r="G7" s="11" t="str">
        <x:v>None identified</x:v>
      </x:c>
    </x:row>
    <x:row r="8" ht="42" customHeight="1">
      <x:c r="A8" s="4" t="str">
        <x:v>Q-004</x:v>
      </x:c>
      <x:c r="B8" s="4" t="str">
        <x:v>Governance</x:v>
      </x:c>
      <x:c r="C8" s="4" t="str">
        <x:v>How are risk assessments performed and actions tracked?</x:v>
      </x:c>
      <x:c r="D8" s="4" t="str">
        <x:v>Scenario response: Annual policy and risk reviews described</x:v>
      </x:c>
      <x:c r="E8" s="4" t="str">
        <x:v>E-02</x:v>
      </x:c>
      <x:c r="F8" s="4" t="str">
        <x:v>Cadence described; dated records needed in a real review</x:v>
      </x:c>
      <x:c r="G8" s="4" t="str">
        <x:v>None identified</x:v>
      </x:c>
    </x:row>
    <x:row r="9" ht="42" customHeight="1">
      <x:c r="A9" s="11" t="str">
        <x:v>Q-005</x:v>
      </x:c>
      <x:c r="B9" s="11" t="str">
        <x:v>Independent assurance</x:v>
      </x:c>
      <x:c r="C9" s="11" t="str">
        <x:v>Is certification claimed and which legal entity is covered?</x:v>
      </x:c>
      <x:c r="D9" s="11" t="str">
        <x:v>Scenario response: Current ISO 27001 scope summary is described in scenario</x:v>
      </x:c>
      <x:c r="E9" s="11" t="str">
        <x:v>E-03</x:v>
      </x:c>
      <x:c r="F9" s="11" t="str">
        <x:v>Scope plausibly relevant; no real certificate verified or created</x:v>
      </x:c>
      <x:c r="G9" s="11" t="str">
        <x:v>None identified</x:v>
      </x:c>
    </x:row>
    <x:row r="10" ht="42" customHeight="1">
      <x:c r="A10" s="4" t="str">
        <x:v>Q-006</x:v>
      </x:c>
      <x:c r="B10" s="4" t="str">
        <x:v>Independent assurance</x:v>
      </x:c>
      <x:c r="C10" s="4" t="str">
        <x:v>Does the scope cover this HR service, and is the certificate current?</x:v>
      </x:c>
      <x:c r="D10" s="4" t="str">
        <x:v>Scenario response: Current ISO 27001 scope summary is described in scenario</x:v>
      </x:c>
      <x:c r="E10" s="4" t="str">
        <x:v>E-03</x:v>
      </x:c>
      <x:c r="F10" s="4" t="str">
        <x:v>Scope plausibly relevant; no real certificate verified or created</x:v>
      </x:c>
      <x:c r="G10" s="4" t="str">
        <x:v>None identified</x:v>
      </x:c>
    </x:row>
    <x:row r="11" ht="42" customHeight="1">
      <x:c r="A11" s="11" t="str">
        <x:v>Q-007</x:v>
      </x:c>
      <x:c r="B11" s="11" t="str">
        <x:v>Independent assurance</x:v>
      </x:c>
      <x:c r="C11" s="11" t="str">
        <x:v>What independent reports and coverage periods are available?</x:v>
      </x:c>
      <x:c r="D11" s="11" t="str">
        <x:v>Scenario response: Report summary and exception log described</x:v>
      </x:c>
      <x:c r="E11" s="11" t="str">
        <x:v>E-04</x:v>
      </x:c>
      <x:c r="F11" s="11" t="str">
        <x:v>Summary cannot establish effectiveness or close specific findings</x:v>
      </x:c>
      <x:c r="G11" s="11" t="str">
        <x:v>None identified</x:v>
      </x:c>
    </x:row>
    <x:row r="12" ht="42" customHeight="1">
      <x:c r="A12" s="4" t="str">
        <x:v>Q-008</x:v>
      </x:c>
      <x:c r="B12" s="4" t="str">
        <x:v>Independent assurance</x:v>
      </x:c>
      <x:c r="C12" s="4" t="str">
        <x:v>How are material exceptions and customer responsibilities tracked?</x:v>
      </x:c>
      <x:c r="D12" s="4" t="str">
        <x:v>Scenario response: Report summary and exception log described</x:v>
      </x:c>
      <x:c r="E12" s="4" t="str">
        <x:v>E-04</x:v>
      </x:c>
      <x:c r="F12" s="4" t="str">
        <x:v>Summary cannot establish effectiveness or close specific findings</x:v>
      </x:c>
      <x:c r="G12" s="4" t="str">
        <x:v>None identified</x:v>
      </x:c>
    </x:row>
    <x:row r="13" ht="42" customHeight="1">
      <x:c r="A13" s="11" t="str">
        <x:v>Q-009</x:v>
      </x:c>
      <x:c r="B13" s="11" t="str">
        <x:v>Identity and access</x:v>
      </x:c>
      <x:c r="C13" s="11" t="str">
        <x:v>Is MFA enforced for all privileged/support/emergency accounts?</x:v>
      </x:c>
      <x:c r="D13" s="11" t="str">
        <x:v>Scenario response: Routine admin MFA; one legacy support account exempt</x:v>
      </x:c>
      <x:c r="E13" s="11" t="str">
        <x:v>E-05</x:v>
      </x:c>
      <x:c r="F13" s="11" t="str">
        <x:v>Known gap: exception contradicts complete MFA coverage</x:v>
      </x:c>
      <x:c r="G13" s="11" t="str">
        <x:v>F-001</x:v>
      </x:c>
    </x:row>
    <x:row r="14" ht="42" customHeight="1">
      <x:c r="A14" s="4" t="str">
        <x:v>Q-010</x:v>
      </x:c>
      <x:c r="B14" s="4" t="str">
        <x:v>Identity and access</x:v>
      </x:c>
      <x:c r="C14" s="4" t="str">
        <x:v>Are privileged accounts separate, restricted and time-bound?</x:v>
      </x:c>
      <x:c r="D14" s="4" t="str">
        <x:v>Scenario response: Routine admin MFA; one legacy support account exempt</x:v>
      </x:c>
      <x:c r="E14" s="4" t="str">
        <x:v>E-05</x:v>
      </x:c>
      <x:c r="F14" s="4" t="str">
        <x:v>Known gap: exception contradicts complete MFA coverage</x:v>
      </x:c>
      <x:c r="G14" s="4" t="str">
        <x:v>F-001</x:v>
      </x:c>
    </x:row>
    <x:row r="15" ht="42" customHeight="1">
      <x:c r="A15" s="11" t="str">
        <x:v>Q-011</x:v>
      </x:c>
      <x:c r="B15" s="11" t="str">
        <x:v>Identity and access</x:v>
      </x:c>
      <x:c r="C15" s="11" t="str">
        <x:v>How frequently are privileged permissions reviewed?</x:v>
      </x:c>
      <x:c r="D15" s="11" t="str">
        <x:v>Scenario response: Annual privilege reviews; departure revocation described</x:v>
      </x:c>
      <x:c r="E15" s="11" t="str">
        <x:v>E-06</x:v>
      </x:c>
      <x:c r="F15" s="11" t="str">
        <x:v>Quarterly scenario review requirement not met</x:v>
      </x:c>
      <x:c r="G15" s="11" t="str">
        <x:v>F-004</x:v>
      </x:c>
    </x:row>
    <x:row r="16" ht="42" customHeight="1">
      <x:c r="A16" s="4" t="str">
        <x:v>Q-012</x:v>
      </x:c>
      <x:c r="B16" s="4" t="str">
        <x:v>Identity and access</x:v>
      </x:c>
      <x:c r="C16" s="4" t="str">
        <x:v>When are leaver accounts and active sessions revoked?</x:v>
      </x:c>
      <x:c r="D16" s="4" t="str">
        <x:v>Scenario response: Annual privilege reviews; departure revocation described</x:v>
      </x:c>
      <x:c r="E16" s="4" t="str">
        <x:v>E-06</x:v>
      </x:c>
      <x:c r="F16" s="4" t="str">
        <x:v>Quarterly scenario review requirement not met</x:v>
      </x:c>
      <x:c r="G16" s="4" t="str">
        <x:v>F-004</x:v>
      </x:c>
    </x:row>
    <x:row r="17" ht="42" customHeight="1">
      <x:c r="A17" s="11" t="str">
        <x:v>Q-013</x:v>
      </x:c>
      <x:c r="B17" s="11" t="str">
        <x:v>Identity and access</x:v>
      </x:c>
      <x:c r="C17" s="11" t="str">
        <x:v>Is Entra SSO supported and how are fallback accounts controlled?</x:v>
      </x:c>
      <x:c r="D17" s="11" t="str">
        <x:v>Scenario response: SSO and protected fallback claimed; full API scope evidence absent</x:v>
      </x:c>
      <x:c r="E17" s="11" t="str">
        <x:v>E-07</x:v>
      </x:c>
      <x:c r="F17" s="11" t="str">
        <x:v>Cannot validate integration least privilege</x:v>
      </x:c>
      <x:c r="G17" s="11" t="str">
        <x:v>F-007</x:v>
      </x:c>
    </x:row>
    <x:row r="18" ht="42" customHeight="1">
      <x:c r="A18" s="4" t="str">
        <x:v>Q-014</x:v>
      </x:c>
      <x:c r="B18" s="4" t="str">
        <x:v>Identity and access</x:v>
      </x:c>
      <x:c r="C18" s="4" t="str">
        <x:v>Which API permissions and credential lifecycles are required?</x:v>
      </x:c>
      <x:c r="D18" s="4" t="str">
        <x:v>Scenario response: SSO and protected fallback claimed; full API scope evidence absent</x:v>
      </x:c>
      <x:c r="E18" s="4" t="str">
        <x:v>E-07</x:v>
      </x:c>
      <x:c r="F18" s="4" t="str">
        <x:v>Cannot validate integration least privilege</x:v>
      </x:c>
      <x:c r="G18" s="4" t="str">
        <x:v>F-007</x:v>
      </x:c>
    </x:row>
    <x:row r="19" ht="42" customHeight="1">
      <x:c r="A19" s="11" t="str">
        <x:v>Q-015</x:v>
      </x:c>
      <x:c r="B19" s="11" t="str">
        <x:v>Data protection</x:v>
      </x:c>
      <x:c r="C19" s="11" t="str">
        <x:v>How is employee data protected in transit?</x:v>
      </x:c>
      <x:c r="D19" s="11" t="str">
        <x:v>Scenario response: Encrypted transport and stored copies described</x:v>
      </x:c>
      <x:c r="E19" s="11" t="str">
        <x:v>E-08</x:v>
      </x:c>
      <x:c r="F19" s="11" t="str">
        <x:v>Design only; verify actual production and backup coverage</x:v>
      </x:c>
      <x:c r="G19" s="11" t="str">
        <x:v>None identified</x:v>
      </x:c>
    </x:row>
    <x:row r="20" ht="42" customHeight="1">
      <x:c r="A20" s="4" t="str">
        <x:v>Q-016</x:v>
      </x:c>
      <x:c r="B20" s="4" t="str">
        <x:v>Data protection</x:v>
      </x:c>
      <x:c r="C20" s="4" t="str">
        <x:v>How is sensitive data encrypted at rest, including backups?</x:v>
      </x:c>
      <x:c r="D20" s="4" t="str">
        <x:v>Scenario response: Encrypted transport and stored copies described</x:v>
      </x:c>
      <x:c r="E20" s="4" t="str">
        <x:v>E-08</x:v>
      </x:c>
      <x:c r="F20" s="4" t="str">
        <x:v>Design only; verify actual production and backup coverage</x:v>
      </x:c>
      <x:c r="G20" s="4" t="str">
        <x:v>None identified</x:v>
      </x:c>
    </x:row>
    <x:row r="21" ht="42" customHeight="1">
      <x:c r="A21" s="11" t="str">
        <x:v>Q-017</x:v>
      </x:c>
      <x:c r="B21" s="11" t="str">
        <x:v>Data protection</x:v>
      </x:c>
      <x:c r="C21" s="11" t="str">
        <x:v>How are key access, rotation and recovery controlled?</x:v>
      </x:c>
      <x:c r="D21" s="11" t="str">
        <x:v>Scenario response: Restricted keys and tenant tests described</x:v>
      </x:c>
      <x:c r="E21" s="11" t="str">
        <x:v>E-09</x:v>
      </x:c>
      <x:c r="F21" s="11" t="str">
        <x:v>No keys or test evidence obtained; no blanket assurance</x:v>
      </x:c>
      <x:c r="G21" s="11" t="str">
        <x:v>None identified</x:v>
      </x:c>
    </x:row>
    <x:row r="22" ht="42" customHeight="1">
      <x:c r="A22" s="4" t="str">
        <x:v>Q-018</x:v>
      </x:c>
      <x:c r="B22" s="4" t="str">
        <x:v>Data protection</x:v>
      </x:c>
      <x:c r="C22" s="4" t="str">
        <x:v>How are tenant boundaries designed and tested?</x:v>
      </x:c>
      <x:c r="D22" s="4" t="str">
        <x:v>Scenario response: Restricted keys and tenant tests described</x:v>
      </x:c>
      <x:c r="E22" s="4" t="str">
        <x:v>E-09</x:v>
      </x:c>
      <x:c r="F22" s="4" t="str">
        <x:v>No keys or test evidence obtained; no blanket assurance</x:v>
      </x:c>
      <x:c r="G22" s="4" t="str">
        <x:v>None identified</x:v>
      </x:c>
    </x:row>
    <x:row r="23" ht="42" customHeight="1">
      <x:c r="A23" s="11" t="str">
        <x:v>Q-019</x:v>
      </x:c>
      <x:c r="B23" s="11" t="str">
        <x:v>Data protection</x:v>
      </x:c>
      <x:c r="C23" s="11" t="str">
        <x:v>How is live data deleted at contract termination?</x:v>
      </x:c>
      <x:c r="D23" s="11" t="str">
        <x:v>Scenario response: Live deletion within 30 days described; backup exit unclear</x:v>
      </x:c>
      <x:c r="E23" s="11" t="str">
        <x:v>E-10</x:v>
      </x:c>
      <x:c r="F23" s="11" t="str">
        <x:v>End-to-end deletion not demonstrated</x:v>
      </x:c>
      <x:c r="G23" s="11" t="str">
        <x:v>F-008</x:v>
      </x:c>
    </x:row>
    <x:row r="24" ht="42" customHeight="1">
      <x:c r="A24" s="4" t="str">
        <x:v>Q-020</x:v>
      </x:c>
      <x:c r="B24" s="4" t="str">
        <x:v>Data protection</x:v>
      </x:c>
      <x:c r="C24" s="4" t="str">
        <x:v>How do backups expire and how is deletion confirmed?</x:v>
      </x:c>
      <x:c r="D24" s="4" t="str">
        <x:v>Scenario response: Live deletion within 30 days described; backup exit unclear</x:v>
      </x:c>
      <x:c r="E24" s="4" t="str">
        <x:v>E-10</x:v>
      </x:c>
      <x:c r="F24" s="4" t="str">
        <x:v>End-to-end deletion not demonstrated</x:v>
      </x:c>
      <x:c r="G24" s="4" t="str">
        <x:v>F-008</x:v>
      </x:c>
    </x:row>
    <x:row r="25" ht="42" customHeight="1">
      <x:c r="A25" s="11" t="str">
        <x:v>Q-021</x:v>
      </x:c>
      <x:c r="B25" s="11" t="str">
        <x:v>Vulnerability management</x:v>
      </x:c>
      <x:c r="C25" s="11" t="str">
        <x:v>How often are exposed systems and dependencies scanned?</x:v>
      </x:c>
      <x:c r="D25" s="11" t="str">
        <x:v>Scenario response: Monthly scanning and annual HR application test described</x:v>
      </x:c>
      <x:c r="E25" s="11" t="str">
        <x:v>E-11</x:v>
      </x:c>
      <x:c r="F25" s="11" t="str">
        <x:v>No real testing reviewed; coverage and exceptions require validation</x:v>
      </x:c>
      <x:c r="G25" s="11" t="str">
        <x:v>None identified</x:v>
      </x:c>
    </x:row>
    <x:row r="26" ht="42" customHeight="1">
      <x:c r="A26" s="4" t="str">
        <x:v>Q-022</x:v>
      </x:c>
      <x:c r="B26" s="4" t="str">
        <x:v>Vulnerability management</x:v>
      </x:c>
      <x:c r="C26" s="4" t="str">
        <x:v>Are independent penetration tests scoped and retested?</x:v>
      </x:c>
      <x:c r="D26" s="4" t="str">
        <x:v>Scenario response: Monthly scanning and annual HR application test described</x:v>
      </x:c>
      <x:c r="E26" s="4" t="str">
        <x:v>E-11</x:v>
      </x:c>
      <x:c r="F26" s="4" t="str">
        <x:v>No real testing reviewed; coverage and exceptions require validation</x:v>
      </x:c>
      <x:c r="G26" s="4" t="str">
        <x:v>None identified</x:v>
      </x:c>
    </x:row>
    <x:row r="27" ht="42" customHeight="1">
      <x:c r="A27" s="11" t="str">
        <x:v>Q-023</x:v>
      </x:c>
      <x:c r="B27" s="11" t="str">
        <x:v>Vulnerability management</x:v>
      </x:c>
      <x:c r="C27" s="11" t="str">
        <x:v>What severity-based remediation deadlines apply?</x:v>
      </x:c>
      <x:c r="D27" s="11" t="str">
        <x:v>Scenario response: 48-hour critical triage and risk-based tracking described</x:v>
      </x:c>
      <x:c r="E27" s="11" t="str">
        <x:v>E-12</x:v>
      </x:c>
      <x:c r="F27" s="11" t="str">
        <x:v>Triage target is a scenario choice; verify actual performance</x:v>
      </x:c>
      <x:c r="G27" s="11" t="str">
        <x:v>None identified</x:v>
      </x:c>
    </x:row>
    <x:row r="28" ht="42" customHeight="1">
      <x:c r="A28" s="4" t="str">
        <x:v>Q-024</x:v>
      </x:c>
      <x:c r="B28" s="4" t="str">
        <x:v>Vulnerability management</x:v>
      </x:c>
      <x:c r="C28" s="4" t="str">
        <x:v>How are exploited flaws and overdue fixes escalated?</x:v>
      </x:c>
      <x:c r="D28" s="4" t="str">
        <x:v>Scenario response: 48-hour critical triage and risk-based tracking described</x:v>
      </x:c>
      <x:c r="E28" s="4" t="str">
        <x:v>E-12</x:v>
      </x:c>
      <x:c r="F28" s="4" t="str">
        <x:v>Triage target is a scenario choice; verify actual performance</x:v>
      </x:c>
      <x:c r="G28" s="4" t="str">
        <x:v>None identified</x:v>
      </x:c>
    </x:row>
    <x:row r="29" ht="42" customHeight="1">
      <x:c r="A29" s="11" t="str">
        <x:v>Q-025</x:v>
      </x:c>
      <x:c r="B29" s="11" t="str">
        <x:v>Logging and monitoring</x:v>
      </x:c>
      <x:c r="C29" s="11" t="str">
        <x:v>Which access, export and administrative events are logged?</x:v>
      </x:c>
      <x:c r="D29" s="11" t="str">
        <x:v>Scenario response: Security events and on-call routing described</x:v>
      </x:c>
      <x:c r="E29" s="11" t="str">
        <x:v>E-13</x:v>
      </x:c>
      <x:c r="F29" s="11" t="str">
        <x:v>Coverage and operation not tested</x:v>
      </x:c>
      <x:c r="G29" s="11" t="str">
        <x:v>None identified</x:v>
      </x:c>
    </x:row>
    <x:row r="30" ht="42" customHeight="1">
      <x:c r="A30" s="4" t="str">
        <x:v>Q-026</x:v>
      </x:c>
      <x:c r="B30" s="4" t="str">
        <x:v>Logging and monitoring</x:v>
      </x:c>
      <x:c r="C30" s="4" t="str">
        <x:v>Are privileged activities monitored with named responders?</x:v>
      </x:c>
      <x:c r="D30" s="4" t="str">
        <x:v>Scenario response: Security events and on-call routing described</x:v>
      </x:c>
      <x:c r="E30" s="4" t="str">
        <x:v>E-13</x:v>
      </x:c>
      <x:c r="F30" s="4" t="str">
        <x:v>Coverage and operation not tested</x:v>
      </x:c>
      <x:c r="G30" s="4" t="str">
        <x:v>None identified</x:v>
      </x:c>
    </x:row>
    <x:row r="31" ht="42" customHeight="1">
      <x:c r="A31" s="11" t="str">
        <x:v>Q-027</x:v>
      </x:c>
      <x:c r="B31" s="11" t="str">
        <x:v>Logging and monitoring</x:v>
      </x:c>
      <x:c r="C31" s="11" t="str">
        <x:v>How are logs protected and retained?</x:v>
      </x:c>
      <x:c r="D31" s="11" t="str">
        <x:v>Scenario response: Restricted logging administration and escalation described</x:v>
      </x:c>
      <x:c r="E31" s="11" t="str">
        <x:v>E-14</x:v>
      </x:c>
      <x:c r="F31" s="11" t="str">
        <x:v>Controls described; no effectiveness conclusion</x:v>
      </x:c>
      <x:c r="G31" s="11" t="str">
        <x:v>None identified</x:v>
      </x:c>
    </x:row>
    <x:row r="32" ht="42" customHeight="1">
      <x:c r="A32" s="4" t="str">
        <x:v>Q-028</x:v>
      </x:c>
      <x:c r="B32" s="4" t="str">
        <x:v>Logging and monitoring</x:v>
      </x:c>
      <x:c r="C32" s="4" t="str">
        <x:v>How are suspicious events escalated and response times tracked?</x:v>
      </x:c>
      <x:c r="D32" s="4" t="str">
        <x:v>Scenario response: Restricted logging administration and escalation described</x:v>
      </x:c>
      <x:c r="E32" s="4" t="str">
        <x:v>E-14</x:v>
      </x:c>
      <x:c r="F32" s="4" t="str">
        <x:v>Controls described; no effectiveness conclusion</x:v>
      </x:c>
      <x:c r="G32" s="4" t="str">
        <x:v>None identified</x:v>
      </x:c>
    </x:row>
    <x:row r="33" ht="42" customHeight="1">
      <x:c r="A33" s="11" t="str">
        <x:v>Q-029</x:v>
      </x:c>
      <x:c r="B33" s="11" t="str">
        <x:v>Incident response</x:v>
      </x:c>
      <x:c r="C33" s="11" t="str">
        <x:v>Is a response plan maintained with roles and containment steps?</x:v>
      </x:c>
      <x:c r="D33" s="11" t="str">
        <x:v>Scenario response: Annual tabletop and action log described</x:v>
      </x:c>
      <x:c r="E33" s="11" t="str">
        <x:v>E-15</x:v>
      </x:c>
      <x:c r="F33" s="11" t="str">
        <x:v>An exercise claim does not demonstrate containment</x:v>
      </x:c>
      <x:c r="G33" s="11" t="str">
        <x:v>None identified</x:v>
      </x:c>
    </x:row>
    <x:row r="34" ht="42" customHeight="1">
      <x:c r="A34" s="4" t="str">
        <x:v>Q-030</x:v>
      </x:c>
      <x:c r="B34" s="4" t="str">
        <x:v>Incident response</x:v>
      </x:c>
      <x:c r="C34" s="4" t="str">
        <x:v>When was it exercised and how were lessons tracked?</x:v>
      </x:c>
      <x:c r="D34" s="4" t="str">
        <x:v>Scenario response: Annual tabletop and action log described</x:v>
      </x:c>
      <x:c r="E34" s="4" t="str">
        <x:v>E-15</x:v>
      </x:c>
      <x:c r="F34" s="4" t="str">
        <x:v>An exercise claim does not demonstrate containment</x:v>
      </x:c>
      <x:c r="G34" s="4" t="str">
        <x:v>None identified</x:v>
      </x:c>
    </x:row>
    <x:row r="35" ht="42" customHeight="1">
      <x:c r="A35" s="11" t="str">
        <x:v>Q-031</x:v>
      </x:c>
      <x:c r="B35" s="11" t="str">
        <x:v>Incident response</x:v>
      </x:c>
      <x:c r="C35" s="11" t="str">
        <x:v>When must Northstar be notified of an incident affecting its data/service?</x:v>
      </x:c>
      <x:c r="D35" s="11" t="str">
        <x:v>Scenario response: Internal process exists; draft agreement says notice will be prompt</x:v>
      </x:c>
      <x:c r="E35" s="11" t="str">
        <x:v>E-16</x:v>
      </x:c>
      <x:c r="F35" s="11" t="str">
        <x:v>Internal procedure cannot replace enforceable notice obligations</x:v>
      </x:c>
      <x:c r="G35" s="11" t="str">
        <x:v>F-005</x:v>
      </x:c>
    </x:row>
    <x:row r="36" ht="42" customHeight="1">
      <x:c r="A36" s="4" t="str">
        <x:v>Q-032</x:v>
      </x:c>
      <x:c r="B36" s="4" t="str">
        <x:v>Incident response</x:v>
      </x:c>
      <x:c r="C36" s="4" t="str">
        <x:v>Are notice content, updates, cooperation and contacts contractual?</x:v>
      </x:c>
      <x:c r="D36" s="4" t="str">
        <x:v>Scenario response: Internal process exists; draft agreement says notice will be prompt</x:v>
      </x:c>
      <x:c r="E36" s="4" t="str">
        <x:v>E-16</x:v>
      </x:c>
      <x:c r="F36" s="4" t="str">
        <x:v>Internal procedure cannot replace enforceable notice obligations</x:v>
      </x:c>
      <x:c r="G36" s="4" t="str">
        <x:v>F-005</x:v>
      </x:c>
    </x:row>
    <x:row r="37" ht="42" customHeight="1">
      <x:c r="A37" s="11" t="str">
        <x:v>Q-033</x:v>
      </x:c>
      <x:c r="B37" s="11" t="str">
        <x:v>Business continuity</x:v>
      </x:c>
      <x:c r="C37" s="11" t="str">
        <x:v>What is backed up and how are copies protected?</x:v>
      </x:c>
      <x:c r="D37" s="11" t="str">
        <x:v>Scenario response: Daily protected backups claimed; no current restore results supplied</x:v>
      </x:c>
      <x:c r="E37" s="11" t="str">
        <x:v>E-17</x:v>
      </x:c>
      <x:c r="F37" s="11" t="str">
        <x:v>Evidence gap; does not prove backups fail</x:v>
      </x:c>
      <x:c r="G37" s="11" t="str">
        <x:v>F-003</x:v>
      </x:c>
    </x:row>
    <x:row r="38" ht="42" customHeight="1">
      <x:c r="A38" s="4" t="str">
        <x:v>Q-034</x:v>
      </x:c>
      <x:c r="B38" s="4" t="str">
        <x:v>Business continuity</x:v>
      </x:c>
      <x:c r="C38" s="4" t="str">
        <x:v>Can a recent restore demonstrate integrity and recovery time?</x:v>
      </x:c>
      <x:c r="D38" s="4" t="str">
        <x:v>Scenario response: Daily protected backups claimed; no current restore results supplied</x:v>
      </x:c>
      <x:c r="E38" s="4" t="str">
        <x:v>E-17</x:v>
      </x:c>
      <x:c r="F38" s="4" t="str">
        <x:v>Evidence gap; does not prove backups fail</x:v>
      </x:c>
      <x:c r="G38" s="4" t="str">
        <x:v>F-003</x:v>
      </x:c>
    </x:row>
    <x:row r="39" ht="42" customHeight="1">
      <x:c r="A39" s="11" t="str">
        <x:v>Q-035</x:v>
      </x:c>
      <x:c r="B39" s="11" t="str">
        <x:v>Business continuity</x:v>
      </x:c>
      <x:c r="C39" s="11" t="str">
        <x:v>Are service-specific RTO/RPO objectives agreed?</x:v>
      </x:c>
      <x:c r="D39" s="11" t="str">
        <x:v>Scenario response: RTO/RPO of 24 hours claimed; no timed recovery report</x:v>
      </x:c>
      <x:c r="E39" s="11" t="str">
        <x:v>E-18</x:v>
      </x:c>
      <x:c r="F39" s="11" t="str">
        <x:v>HR tolerance must be validated; core-app 8-hour RTO not automatically inherited</x:v>
      </x:c>
      <x:c r="G39" s="11" t="str">
        <x:v>F-003</x:v>
      </x:c>
    </x:row>
    <x:row r="40" ht="42" customHeight="1">
      <x:c r="A40" s="4" t="str">
        <x:v>Q-036</x:v>
      </x:c>
      <x:c r="B40" s="4" t="str">
        <x:v>Business continuity</x:v>
      </x:c>
      <x:c r="C40" s="4" t="str">
        <x:v>Has recovery been exercised against those objectives?</x:v>
      </x:c>
      <x:c r="D40" s="4" t="str">
        <x:v>Scenario response: RTO/RPO of 24 hours claimed; no timed recovery report</x:v>
      </x:c>
      <x:c r="E40" s="4" t="str">
        <x:v>E-18</x:v>
      </x:c>
      <x:c r="F40" s="4" t="str">
        <x:v>HR tolerance must be validated; core-app 8-hour RTO not automatically inherited</x:v>
      </x:c>
      <x:c r="G40" s="4" t="str">
        <x:v>F-003</x:v>
      </x:c>
    </x:row>
    <x:row r="41" ht="42" customHeight="1">
      <x:c r="A41" s="11" t="str">
        <x:v>Q-037</x:v>
      </x:c>
      <x:c r="B41" s="11" t="str">
        <x:v>Fourth-party risk</x:v>
      </x:c>
      <x:c r="C41" s="11" t="str">
        <x:v>Is a subprocessor inventory available with purpose, data and locations?</x:v>
      </x:c>
      <x:c r="D41" s="11" t="str">
        <x:v>Scenario response: List described; periodic reviews incomplete</x:v>
      </x:c>
      <x:c r="E41" s="11" t="str">
        <x:v>E-19</x:v>
      </x:c>
      <x:c r="F41" s="11" t="str">
        <x:v>Real entities, locations and transfer arrangements remain to be validated</x:v>
      </x:c>
      <x:c r="G41" s="11" t="str">
        <x:v>F-002</x:v>
      </x:c>
    </x:row>
    <x:row r="42" ht="42" customHeight="1">
      <x:c r="A42" s="4" t="str">
        <x:v>Q-038</x:v>
      </x:c>
      <x:c r="B42" s="4" t="str">
        <x:v>Fourth-party risk</x:v>
      </x:c>
      <x:c r="C42" s="4" t="str">
        <x:v>How are subprocessors assessed and reassessed?</x:v>
      </x:c>
      <x:c r="D42" s="4" t="str">
        <x:v>Scenario response: List described; periodic reviews incomplete</x:v>
      </x:c>
      <x:c r="E42" s="4" t="str">
        <x:v>E-19</x:v>
      </x:c>
      <x:c r="F42" s="4" t="str">
        <x:v>Real entities, locations and transfer arrangements remain to be validated</x:v>
      </x:c>
      <x:c r="G42" s="4" t="str">
        <x:v>F-002</x:v>
      </x:c>
    </x:row>
    <x:row r="43" ht="42" customHeight="1">
      <x:c r="A43" s="11" t="str">
        <x:v>Q-039</x:v>
      </x:c>
      <x:c r="B43" s="11" t="str">
        <x:v>Fourth-party risk</x:v>
      </x:c>
      <x:c r="C43" s="11" t="str">
        <x:v>Do supplier agreements impose security and onward-processing duties?</x:v>
      </x:c>
      <x:c r="D43" s="11" t="str">
        <x:v>Scenario response: Baseline flow-down described; change arrangements incomplete</x:v>
      </x:c>
      <x:c r="E43" s="11" t="str">
        <x:v>E-20</x:v>
      </x:c>
      <x:c r="F43" s="11" t="str">
        <x:v>Monitoring and material-change commitments need completion</x:v>
      </x:c>
      <x:c r="G43" s="11" t="str">
        <x:v>F-002</x:v>
      </x:c>
    </x:row>
    <x:row r="44" ht="42" customHeight="1">
      <x:c r="A44" s="4" t="str">
        <x:v>Q-040</x:v>
      </x:c>
      <x:c r="B44" s="4" t="str">
        <x:v>Fourth-party risk</x:v>
      </x:c>
      <x:c r="C44" s="4" t="str">
        <x:v>How are material changes, objections and exit handled?</x:v>
      </x:c>
      <x:c r="D44" s="4" t="str">
        <x:v>Scenario response: Baseline flow-down described; change arrangements incomplete</x:v>
      </x:c>
      <x:c r="E44" s="4" t="str">
        <x:v>E-20</x:v>
      </x:c>
      <x:c r="F44" s="4" t="str">
        <x:v>Monitoring and material-change commitments need completion</x:v>
      </x:c>
      <x:c r="G44" s="4" t="str">
        <x:v>F-002</x:v>
      </x:c>
    </x:row>
    <x:row r="45" ht="42" customHeight="1">
      <x:c r="A45" s="11" t="str">
        <x:v>Q-041</x:v>
      </x:c>
      <x:c r="B45" s="11" t="str">
        <x:v>Secure development</x:v>
      </x:c>
      <x:c r="C45" s="11" t="str">
        <x:v>Are security requirements included in design and implementation?</x:v>
      </x:c>
      <x:c r="D45" s="11" t="str">
        <x:v>Scenario response: Design checks, code review and release gates described</x:v>
      </x:c>
      <x:c r="E45" s="11" t="str">
        <x:v>E-21</x:v>
      </x:c>
      <x:c r="F45" s="11" t="str">
        <x:v>Representative sampling needed in a real assessment</x:v>
      </x:c>
      <x:c r="G45" s="11" t="str">
        <x:v>None identified</x:v>
      </x:c>
    </x:row>
    <x:row r="46" ht="42" customHeight="1">
      <x:c r="A46" s="4" t="str">
        <x:v>Q-042</x:v>
      </x:c>
      <x:c r="B46" s="4" t="str">
        <x:v>Secure development</x:v>
      </x:c>
      <x:c r="C46" s="4" t="str">
        <x:v>Are code changes peer reviewed and tested before release?</x:v>
      </x:c>
      <x:c r="D46" s="4" t="str">
        <x:v>Scenario response: Design checks, code review and release gates described</x:v>
      </x:c>
      <x:c r="E46" s="4" t="str">
        <x:v>E-21</x:v>
      </x:c>
      <x:c r="F46" s="4" t="str">
        <x:v>Representative sampling needed in a real assessment</x:v>
      </x:c>
      <x:c r="G46" s="4" t="str">
        <x:v>None identified</x:v>
      </x:c>
    </x:row>
    <x:row r="47" ht="42" customHeight="1">
      <x:c r="A47" s="11" t="str">
        <x:v>Q-043</x:v>
      </x:c>
      <x:c r="B47" s="11" t="str">
        <x:v>Secure development</x:v>
      </x:c>
      <x:c r="C47" s="11" t="str">
        <x:v>How are production secrets protected in repositories and build jobs?</x:v>
      </x:c>
      <x:c r="D47" s="11" t="str">
        <x:v>Scenario response: Managed secrets; raw HR extracts may enter test without proven masking</x:v>
      </x:c>
      <x:c r="E47" s="11" t="str">
        <x:v>E-22</x:v>
      </x:c>
      <x:c r="F47" s="11" t="str">
        <x:v>Separation does not secure copied production records</x:v>
      </x:c>
      <x:c r="G47" s="11" t="str">
        <x:v>F-006</x:v>
      </x:c>
    </x:row>
    <x:row r="48" ht="42" customHeight="1">
      <x:c r="A48" s="4" t="str">
        <x:v>Q-044</x:v>
      </x:c>
      <x:c r="B48" s="4" t="str">
        <x:v>Secure development</x:v>
      </x:c>
      <x:c r="C48" s="4" t="str">
        <x:v>Are test environments separated and real employee data excluded or masked?</x:v>
      </x:c>
      <x:c r="D48" s="4" t="str">
        <x:v>Scenario response: Managed secrets; raw HR extracts may enter test without proven masking</x:v>
      </x:c>
      <x:c r="E48" s="4" t="str">
        <x:v>E-22</x:v>
      </x:c>
      <x:c r="F48" s="4" t="str">
        <x:v>Separation does not secure copied production records</x:v>
      </x:c>
      <x:c r="G48" s="4" t="str">
        <x:v>F-006</x:v>
      </x:c>
    </x:row>
    <x:row r="49" ht="42" customHeight="1">
      <x:c r="A49" s="11" t="str">
        <x:v>Q-045</x:v>
      </x:c>
      <x:c r="B49" s="11" t="str">
        <x:v>Privacy</x:v>
      </x:c>
      <x:c r="C49" s="11" t="str">
        <x:v>Are processing purposes and data minimization documented?</x:v>
      </x:c>
      <x:c r="D49" s="11" t="str">
        <x:v>Scenario response: HR purposes and retention policy described; backup lifecycle unclear</x:v>
      </x:c>
      <x:c r="E49" s="11" t="str">
        <x:v>E-23</x:v>
      </x:c>
      <x:c r="F49" s="11" t="str">
        <x:v>Reconcile backup retention and customer exit instructions</x:v>
      </x:c>
      <x:c r="G49" s="11" t="str">
        <x:v>F-008</x:v>
      </x:c>
    </x:row>
    <x:row r="50" ht="42" customHeight="1">
      <x:c r="A50" s="4" t="str">
        <x:v>Q-046</x:v>
      </x:c>
      <x:c r="B50" s="4" t="str">
        <x:v>Privacy</x:v>
      </x:c>
      <x:c r="C50" s="4" t="str">
        <x:v>Are retention periods defined by data category and storage type?</x:v>
      </x:c>
      <x:c r="D50" s="4" t="str">
        <x:v>Scenario response: HR purposes and retention policy described; backup lifecycle unclear</x:v>
      </x:c>
      <x:c r="E50" s="4" t="str">
        <x:v>E-23</x:v>
      </x:c>
      <x:c r="F50" s="4" t="str">
        <x:v>Reconcile backup retention and customer exit instructions</x:v>
      </x:c>
      <x:c r="G50" s="4" t="str">
        <x:v>F-008</x:v>
      </x:c>
    </x:row>
    <x:row r="51" ht="42" customHeight="1">
      <x:c r="A51" s="11" t="str">
        <x:v>Q-047</x:v>
      </x:c>
      <x:c r="B51" s="11" t="str">
        <x:v>Privacy</x:v>
      </x:c>
      <x:c r="C51" s="11" t="str">
        <x:v>How are onward processing, data locations and transfers documented?</x:v>
      </x:c>
      <x:c r="D51" s="11" t="str">
        <x:v>Scenario response: Draft processing schedule and request workflow described</x:v>
      </x:c>
      <x:c r="E51" s="11" t="str">
        <x:v>E-24</x:v>
      </x:c>
      <x:c r="F51" s="11" t="str">
        <x:v>Jurisdictions and contractual requirements need contextual review</x:v>
      </x:c>
      <x:c r="G51" s="11" t="str">
        <x:v>F-002; F-008</x:v>
      </x:c>
    </x:row>
    <x:row r="52" ht="42" customHeight="1">
      <x:c r="A52" s="4" t="str">
        <x:v>Q-048</x:v>
      </x:c>
      <x:c r="B52" s="4" t="str">
        <x:v>Privacy</x:v>
      </x:c>
      <x:c r="C52" s="4" t="str">
        <x:v>How are rights requests, exports and deletion instructions supported?</x:v>
      </x:c>
      <x:c r="D52" s="4" t="str">
        <x:v>Scenario response: Draft processing schedule and request workflow described</x:v>
      </x:c>
      <x:c r="E52" s="4" t="str">
        <x:v>E-24</x:v>
      </x:c>
      <x:c r="F52" s="4" t="str">
        <x:v>Jurisdictions and contractual requirements need contextual review</x:v>
      </x:c>
      <x:c r="G52" s="4" t="str">
        <x:v>F-002; F-008</x:v>
      </x:c>
    </x:row>
  </x:sheetData>
  <x:mergeCells>
    <x:mergeCell ref="A1:G1"/>
    <x:mergeCell ref="A2:G2"/>
  </x:mergeCells>
  <x:pageMargins left="0.7" right="0.7" top="0.75" bottom="0.75" header="0.3" footer="0.3"/>
  <x:tableParts count="1">
    <x:tablePart xmlns:r="http://schemas.openxmlformats.org/officeDocument/2006/relationships" r:id="Ra44315168af9408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57" hidden="0" customWidth="1"/>
    <x:col min="4" max="4" width="65" hidden="0" customWidth="1"/>
    <x:col min="5" max="5" width="31" hidden="0" customWidth="1"/>
    <x:col min="6" max="6" width="69" hidden="0" customWidth="1"/>
    <x:col min="7" max="7" width="38" hidden="0" customWidth="1"/>
    <x:col min="8" max="8" width="27" hidden="0" customWidth="1"/>
    <x:col min="9" max="9" width="30" hidden="0" customWidth="1"/>
    <x:col min="10" max="10" width="20" hidden="0" customWidth="1"/>
  </x:cols>
  <x:sheetData>
    <x:row r="1" ht="36" customHeight="1">
      <x:c r="A1" s="7" t="str">
        <x:v>Evidence request and review register | 24 topics</x:v>
      </x:c>
      <x:c r="B1" s="6"/>
      <x:c r="C1" s="6"/>
      <x:c r="D1" s="6"/>
      <x:c r="E1" s="6"/>
      <x:c r="F1" s="6"/>
      <x:c r="G1" s="6"/>
      <x:c r="H1" s="6"/>
      <x:c r="I1" s="6"/>
      <x:c r="J1" s="6"/>
    </x:row>
    <x:row r="2" ht="44" customHeight="1">
      <x:c r="A2" s="8" t="str">
        <x:v>Independent portfolio exercise based on fictional organizations. No real vendor assessment, client engagement or assurance review took place.</x:v>
      </x:c>
      <x:c r="B2" s="4"/>
      <x:c r="C2" s="4"/>
      <x:c r="D2" s="4"/>
      <x:c r="E2" s="4"/>
      <x:c r="F2" s="4"/>
      <x:c r="G2" s="4"/>
      <x:c r="H2" s="4"/>
      <x:c r="I2" s="4"/>
      <x:c r="J2" s="4"/>
    </x:row>
    <x:row r="3" ht="12" customHeight="1">
      <x:c r="A3" s="4"/>
      <x:c r="B3" s="4"/>
      <x:c r="C3" s="4"/>
      <x:c r="D3" s="4"/>
      <x:c r="E3" s="4"/>
      <x:c r="F3" s="4"/>
      <x:c r="G3" s="4"/>
      <x:c r="H3" s="4"/>
      <x:c r="I3" s="4"/>
      <x:c r="J3" s="4"/>
    </x:row>
    <x:row r="4" ht="42" customHeight="1">
      <x:c r="A4" s="10" t="str">
        <x:v>Evidence ID</x:v>
      </x:c>
      <x:c r="B4" s="10" t="str">
        <x:v>Questions</x:v>
      </x:c>
      <x:c r="C4" s="10" t="str">
        <x:v>Vendor claim (scenario)</x:v>
      </x:c>
      <x:c r="D4" s="10" t="str">
        <x:v>Evidence required</x:v>
      </x:c>
      <x:c r="E4" s="10" t="str">
        <x:v>Simulated received status</x:v>
      </x:c>
      <x:c r="F4" s="10" t="str">
        <x:v>Simulated assessment / rationale</x:v>
      </x:c>
      <x:c r="G4" s="10" t="str">
        <x:v>Actual evidence state</x:v>
      </x:c>
      <x:c r="H4" s="10" t="str">
        <x:v>Findings</x:v>
      </x:c>
      <x:c r="I4" s="10" t="str">
        <x:v>Reviewer (fictional)</x:v>
      </x:c>
      <x:c r="J4" s="10" t="str">
        <x:v>Scenario review date</x:v>
      </x:c>
    </x:row>
    <x:row r="5" ht="58" customHeight="1">
      <x:c r="A5" s="11" t="str">
        <x:v>E-01</x:v>
      </x:c>
      <x:c r="B5" s="11" t="str">
        <x:v>Q-001; Q-002</x:v>
      </x:c>
      <x:c r="C5" s="11" t="str">
        <x:v>Program and security lead described</x:v>
      </x:c>
      <x:c r="D5" s="11" t="str">
        <x:v>Approved program, responsibilities and escalation chart</x:v>
      </x:c>
      <x:c r="E5" s="11" t="str">
        <x:v>SIMULATED: Narrative supplied</x:v>
      </x:c>
      <x:c r="F5" s="11" t="str">
        <x:v>SIMULATED: Design described; operation unverified</x:v>
      </x:c>
      <x:c r="G5" s="11" t="str">
        <x:v>No real evidence received or reviewed</x:v>
      </x:c>
      <x:c r="H5" s="11" t="str">
        <x:v>None</x:v>
      </x:c>
      <x:c r="I5" s="11" t="str">
        <x:v>Security Lead (fictional)</x:v>
      </x:c>
      <x:c r="J5" s="15" t="n">
        <x:v>46273</x:v>
      </x:c>
    </x:row>
    <x:row r="6" ht="58" customHeight="1">
      <x:c r="A6" s="4" t="str">
        <x:v>E-02</x:v>
      </x:c>
      <x:c r="B6" s="4" t="str">
        <x:v>Q-003; Q-004</x:v>
      </x:c>
      <x:c r="C6" s="4" t="str">
        <x:v>Annual policy and risk reviews described</x:v>
      </x:c>
      <x:c r="D6" s="4" t="str">
        <x:v>Latest approvals, risk assessment and action sample</x:v>
      </x:c>
      <x:c r="E6" s="4" t="str">
        <x:v>SIMULATED: Narrative supplied</x:v>
      </x:c>
      <x:c r="F6" s="4" t="str">
        <x:v>SIMULATED: Cadence described; dated records needed in a real review</x:v>
      </x:c>
      <x:c r="G6" s="4" t="str">
        <x:v>No real evidence received or reviewed</x:v>
      </x:c>
      <x:c r="H6" s="4" t="str">
        <x:v>None</x:v>
      </x:c>
      <x:c r="I6" s="4" t="str">
        <x:v>Security Lead (fictional)</x:v>
      </x:c>
      <x:c r="J6" s="16" t="n">
        <x:v>46273</x:v>
      </x:c>
    </x:row>
    <x:row r="7" ht="58" customHeight="1">
      <x:c r="A7" s="11" t="str">
        <x:v>E-03</x:v>
      </x:c>
      <x:c r="B7" s="11" t="str">
        <x:v>Q-005; Q-006</x:v>
      </x:c>
      <x:c r="C7" s="11" t="str">
        <x:v>Current ISO 27001 scope summary is described in scenario</x:v>
      </x:c>
      <x:c r="D7" s="11" t="str">
        <x:v>Certificate, scope, dates and independent certification-body validation</x:v>
      </x:c>
      <x:c r="E7" s="11" t="str">
        <x:v>SIMULATED: Narrative supplied</x:v>
      </x:c>
      <x:c r="F7" s="11" t="str">
        <x:v>SIMULATED: Scope plausibly relevant; no real certificate verified or created</x:v>
      </x:c>
      <x:c r="G7" s="11" t="str">
        <x:v>No real evidence received or reviewed</x:v>
      </x:c>
      <x:c r="H7" s="11" t="str">
        <x:v>None</x:v>
      </x:c>
      <x:c r="I7" s="11" t="str">
        <x:v>Security Lead (fictional)</x:v>
      </x:c>
      <x:c r="J7" s="15" t="n">
        <x:v>46273</x:v>
      </x:c>
    </x:row>
    <x:row r="8" ht="58" customHeight="1">
      <x:c r="A8" s="4" t="str">
        <x:v>E-04</x:v>
      </x:c>
      <x:c r="B8" s="4" t="str">
        <x:v>Q-007; Q-008</x:v>
      </x:c>
      <x:c r="C8" s="4" t="str">
        <x:v>Report summary and exception log described</x:v>
      </x:c>
      <x:c r="D8" s="4" t="str">
        <x:v>Report, period, exceptions, customer responsibilities and coverage-gap update</x:v>
      </x:c>
      <x:c r="E8" s="4" t="str">
        <x:v>SIMULATED: Narrative supplied</x:v>
      </x:c>
      <x:c r="F8" s="4" t="str">
        <x:v>SIMULATED: Summary cannot establish effectiveness or close specific findings</x:v>
      </x:c>
      <x:c r="G8" s="4" t="str">
        <x:v>No real evidence received or reviewed</x:v>
      </x:c>
      <x:c r="H8" s="4" t="str">
        <x:v>None</x:v>
      </x:c>
      <x:c r="I8" s="4" t="str">
        <x:v>Security Lead (fictional)</x:v>
      </x:c>
      <x:c r="J8" s="16" t="n">
        <x:v>46273</x:v>
      </x:c>
    </x:row>
    <x:row r="9" ht="58" customHeight="1">
      <x:c r="A9" s="11" t="str">
        <x:v>E-05</x:v>
      </x:c>
      <x:c r="B9" s="11" t="str">
        <x:v>Q-009; Q-010</x:v>
      </x:c>
      <x:c r="C9" s="11" t="str">
        <x:v>Routine admin MFA; one legacy support account exempt</x:v>
      </x:c>
      <x:c r="D9" s="11" t="str">
        <x:v>Privileged inventory, MFA export, exceptions and sign-in tests</x:v>
      </x:c>
      <x:c r="E9" s="11" t="str">
        <x:v>SIMULATED: Partial narrative</x:v>
      </x:c>
      <x:c r="F9" s="11" t="str">
        <x:v>SIMULATED: Known gap: exception contradicts complete MFA coverage</x:v>
      </x:c>
      <x:c r="G9" s="11" t="str">
        <x:v>No real evidence received or reviewed</x:v>
      </x:c>
      <x:c r="H9" s="11" t="str">
        <x:v>F-001</x:v>
      </x:c>
      <x:c r="I9" s="11" t="str">
        <x:v>Security Lead (fictional)</x:v>
      </x:c>
      <x:c r="J9" s="15" t="n">
        <x:v>46273</x:v>
      </x:c>
    </x:row>
    <x:row r="10" ht="58" customHeight="1">
      <x:c r="A10" s="4" t="str">
        <x:v>E-06</x:v>
      </x:c>
      <x:c r="B10" s="4" t="str">
        <x:v>Q-011; Q-012</x:v>
      </x:c>
      <x:c r="C10" s="4" t="str">
        <x:v>Annual privilege reviews; departure revocation described</x:v>
      </x:c>
      <x:c r="D10" s="4" t="str">
        <x:v>Latest rights review, sign-off, leaver sample and revocation test</x:v>
      </x:c>
      <x:c r="E10" s="4" t="str">
        <x:v>SIMULATED: Partial narrative</x:v>
      </x:c>
      <x:c r="F10" s="4" t="str">
        <x:v>SIMULATED: Quarterly scenario review requirement not met</x:v>
      </x:c>
      <x:c r="G10" s="4" t="str">
        <x:v>No real evidence received or reviewed</x:v>
      </x:c>
      <x:c r="H10" s="4" t="str">
        <x:v>F-004</x:v>
      </x:c>
      <x:c r="I10" s="4" t="str">
        <x:v>Security Lead (fictional)</x:v>
      </x:c>
      <x:c r="J10" s="16" t="n">
        <x:v>46273</x:v>
      </x:c>
    </x:row>
    <x:row r="11" ht="58" customHeight="1">
      <x:c r="A11" s="11" t="str">
        <x:v>E-07</x:v>
      </x:c>
      <x:c r="B11" s="11" t="str">
        <x:v>Q-013; Q-014</x:v>
      </x:c>
      <x:c r="C11" s="11" t="str">
        <x:v>SSO and protected fallback claimed; full API scope evidence absent</x:v>
      </x:c>
      <x:c r="D11" s="11" t="str">
        <x:v>SSO configuration, fallback inventory, API scopes, consent and token lifecycle</x:v>
      </x:c>
      <x:c r="E11" s="11" t="str">
        <x:v>SIMULATED: Partial narrative</x:v>
      </x:c>
      <x:c r="F11" s="11" t="str">
        <x:v>SIMULATED: Cannot validate integration least privilege</x:v>
      </x:c>
      <x:c r="G11" s="11" t="str">
        <x:v>No real evidence received or reviewed</x:v>
      </x:c>
      <x:c r="H11" s="11" t="str">
        <x:v>F-007</x:v>
      </x:c>
      <x:c r="I11" s="11" t="str">
        <x:v>Security Lead (fictional)</x:v>
      </x:c>
      <x:c r="J11" s="15" t="n">
        <x:v>46273</x:v>
      </x:c>
    </x:row>
    <x:row r="12" ht="58" customHeight="1">
      <x:c r="A12" s="4" t="str">
        <x:v>E-08</x:v>
      </x:c>
      <x:c r="B12" s="4" t="str">
        <x:v>Q-015; Q-016</x:v>
      </x:c>
      <x:c r="C12" s="4" t="str">
        <x:v>Encrypted transport and stored copies described</x:v>
      </x:c>
      <x:c r="D12" s="4" t="str">
        <x:v>Transport/storage configurations and encryption coverage inventory</x:v>
      </x:c>
      <x:c r="E12" s="4" t="str">
        <x:v>SIMULATED: Narrative supplied</x:v>
      </x:c>
      <x:c r="F12" s="4" t="str">
        <x:v>SIMULATED: Design only; verify actual production and backup coverage</x:v>
      </x:c>
      <x:c r="G12" s="4" t="str">
        <x:v>No real evidence received or reviewed</x:v>
      </x:c>
      <x:c r="H12" s="4" t="str">
        <x:v>None</x:v>
      </x:c>
      <x:c r="I12" s="4" t="str">
        <x:v>Security Lead (fictional)</x:v>
      </x:c>
      <x:c r="J12" s="16" t="n">
        <x:v>46273</x:v>
      </x:c>
    </x:row>
    <x:row r="13" ht="58" customHeight="1">
      <x:c r="A13" s="11" t="str">
        <x:v>E-09</x:v>
      </x:c>
      <x:c r="B13" s="11" t="str">
        <x:v>Q-017; Q-018</x:v>
      </x:c>
      <x:c r="C13" s="11" t="str">
        <x:v>Restricted keys and tenant tests described</x:v>
      </x:c>
      <x:c r="D13" s="11" t="str">
        <x:v>Key lifecycle, access review and tenant-isolation test summary</x:v>
      </x:c>
      <x:c r="E13" s="11" t="str">
        <x:v>SIMULATED: Narrative supplied</x:v>
      </x:c>
      <x:c r="F13" s="11" t="str">
        <x:v>SIMULATED: No keys or test evidence obtained; no blanket assurance</x:v>
      </x:c>
      <x:c r="G13" s="11" t="str">
        <x:v>No real evidence received or reviewed</x:v>
      </x:c>
      <x:c r="H13" s="11" t="str">
        <x:v>None</x:v>
      </x:c>
      <x:c r="I13" s="11" t="str">
        <x:v>Security Lead (fictional)</x:v>
      </x:c>
      <x:c r="J13" s="15" t="n">
        <x:v>46273</x:v>
      </x:c>
    </x:row>
    <x:row r="14" ht="58" customHeight="1">
      <x:c r="A14" s="4" t="str">
        <x:v>E-10</x:v>
      </x:c>
      <x:c r="B14" s="4" t="str">
        <x:v>Q-019; Q-020</x:v>
      </x:c>
      <x:c r="C14" s="4" t="str">
        <x:v>Live deletion within 30 days described; backup exit unclear</x:v>
      </x:c>
      <x:c r="D14" s="4" t="str">
        <x:v>Exit workflow, backup schedule and deletion confirmation sample</x:v>
      </x:c>
      <x:c r="E14" s="4" t="str">
        <x:v>SIMULATED: Partial narrative</x:v>
      </x:c>
      <x:c r="F14" s="4" t="str">
        <x:v>SIMULATED: End-to-end deletion not demonstrated</x:v>
      </x:c>
      <x:c r="G14" s="4" t="str">
        <x:v>No real evidence received or reviewed</x:v>
      </x:c>
      <x:c r="H14" s="4" t="str">
        <x:v>F-008</x:v>
      </x:c>
      <x:c r="I14" s="4" t="str">
        <x:v>Security Lead (fictional)</x:v>
      </x:c>
      <x:c r="J14" s="16" t="n">
        <x:v>46273</x:v>
      </x:c>
    </x:row>
    <x:row r="15" ht="58" customHeight="1">
      <x:c r="A15" s="11" t="str">
        <x:v>E-11</x:v>
      </x:c>
      <x:c r="B15" s="11" t="str">
        <x:v>Q-021; Q-022</x:v>
      </x:c>
      <x:c r="C15" s="11" t="str">
        <x:v>Monthly scanning and annual HR application test described</x:v>
      </x:c>
      <x:c r="D15" s="11" t="str">
        <x:v>Scan coverage, test scope/date, findings and retest summary</x:v>
      </x:c>
      <x:c r="E15" s="11" t="str">
        <x:v>SIMULATED: Narrative supplied</x:v>
      </x:c>
      <x:c r="F15" s="11" t="str">
        <x:v>SIMULATED: No real testing reviewed; coverage and exceptions require validation</x:v>
      </x:c>
      <x:c r="G15" s="11" t="str">
        <x:v>No real evidence received or reviewed</x:v>
      </x:c>
      <x:c r="H15" s="11" t="str">
        <x:v>None</x:v>
      </x:c>
      <x:c r="I15" s="11" t="str">
        <x:v>Security Lead (fictional)</x:v>
      </x:c>
      <x:c r="J15" s="15" t="n">
        <x:v>46273</x:v>
      </x:c>
    </x:row>
    <x:row r="16" ht="58" customHeight="1">
      <x:c r="A16" s="4" t="str">
        <x:v>E-12</x:v>
      </x:c>
      <x:c r="B16" s="4" t="str">
        <x:v>Q-023; Q-024</x:v>
      </x:c>
      <x:c r="C16" s="4" t="str">
        <x:v>48-hour critical triage and risk-based tracking described</x:v>
      </x:c>
      <x:c r="D16" s="4" t="str">
        <x:v>Remediation policy, recent critical ticket, overdue exceptions and rescan</x:v>
      </x:c>
      <x:c r="E16" s="4" t="str">
        <x:v>SIMULATED: Narrative supplied</x:v>
      </x:c>
      <x:c r="F16" s="4" t="str">
        <x:v>SIMULATED: Triage target is a scenario choice; verify actual performance</x:v>
      </x:c>
      <x:c r="G16" s="4" t="str">
        <x:v>No real evidence received or reviewed</x:v>
      </x:c>
      <x:c r="H16" s="4" t="str">
        <x:v>None</x:v>
      </x:c>
      <x:c r="I16" s="4" t="str">
        <x:v>Security Lead (fictional)</x:v>
      </x:c>
      <x:c r="J16" s="16" t="n">
        <x:v>46273</x:v>
      </x:c>
    </x:row>
    <x:row r="17" ht="58" customHeight="1">
      <x:c r="A17" s="11" t="str">
        <x:v>E-13</x:v>
      </x:c>
      <x:c r="B17" s="11" t="str">
        <x:v>Q-025; Q-026</x:v>
      </x:c>
      <x:c r="C17" s="11" t="str">
        <x:v>Security events and on-call routing described</x:v>
      </x:c>
      <x:c r="D17" s="11" t="str">
        <x:v>Event inventory, sanitized log examples and response exercise</x:v>
      </x:c>
      <x:c r="E17" s="11" t="str">
        <x:v>SIMULATED: Narrative supplied</x:v>
      </x:c>
      <x:c r="F17" s="11" t="str">
        <x:v>SIMULATED: Coverage and operation not tested</x:v>
      </x:c>
      <x:c r="G17" s="11" t="str">
        <x:v>No real evidence received or reviewed</x:v>
      </x:c>
      <x:c r="H17" s="11" t="str">
        <x:v>None</x:v>
      </x:c>
      <x:c r="I17" s="11" t="str">
        <x:v>Security Lead (fictional)</x:v>
      </x:c>
      <x:c r="J17" s="15" t="n">
        <x:v>46273</x:v>
      </x:c>
    </x:row>
    <x:row r="18" ht="58" customHeight="1">
      <x:c r="A18" s="4" t="str">
        <x:v>E-14</x:v>
      </x:c>
      <x:c r="B18" s="4" t="str">
        <x:v>Q-027; Q-028</x:v>
      </x:c>
      <x:c r="C18" s="4" t="str">
        <x:v>Restricted logging administration and escalation described</x:v>
      </x:c>
      <x:c r="D18" s="4" t="str">
        <x:v>Retention/access settings and timed escalation sample</x:v>
      </x:c>
      <x:c r="E18" s="4" t="str">
        <x:v>SIMULATED: Narrative supplied</x:v>
      </x:c>
      <x:c r="F18" s="4" t="str">
        <x:v>SIMULATED: Controls described; no effectiveness conclusion</x:v>
      </x:c>
      <x:c r="G18" s="4" t="str">
        <x:v>No real evidence received or reviewed</x:v>
      </x:c>
      <x:c r="H18" s="4" t="str">
        <x:v>None</x:v>
      </x:c>
      <x:c r="I18" s="4" t="str">
        <x:v>Security Lead (fictional)</x:v>
      </x:c>
      <x:c r="J18" s="16" t="n">
        <x:v>46273</x:v>
      </x:c>
    </x:row>
    <x:row r="19" ht="58" customHeight="1">
      <x:c r="A19" s="11" t="str">
        <x:v>E-15</x:v>
      </x:c>
      <x:c r="B19" s="11" t="str">
        <x:v>Q-029; Q-030</x:v>
      </x:c>
      <x:c r="C19" s="11" t="str">
        <x:v>Annual tabletop and action log described</x:v>
      </x:c>
      <x:c r="D19" s="11" t="str">
        <x:v>Plan, exercise results and corrective-action closure</x:v>
      </x:c>
      <x:c r="E19" s="11" t="str">
        <x:v>SIMULATED: Narrative supplied</x:v>
      </x:c>
      <x:c r="F19" s="11" t="str">
        <x:v>SIMULATED: An exercise claim does not demonstrate containment</x:v>
      </x:c>
      <x:c r="G19" s="11" t="str">
        <x:v>No real evidence received or reviewed</x:v>
      </x:c>
      <x:c r="H19" s="11" t="str">
        <x:v>None</x:v>
      </x:c>
      <x:c r="I19" s="11" t="str">
        <x:v>Security Lead (fictional)</x:v>
      </x:c>
      <x:c r="J19" s="15" t="n">
        <x:v>46273</x:v>
      </x:c>
    </x:row>
    <x:row r="20" ht="58" customHeight="1">
      <x:c r="A20" s="4" t="str">
        <x:v>E-16</x:v>
      </x:c>
      <x:c r="B20" s="4" t="str">
        <x:v>Q-031; Q-032</x:v>
      </x:c>
      <x:c r="C20" s="4" t="str">
        <x:v>Internal process exists; draft agreement says notice will be prompt</x:v>
      </x:c>
      <x:c r="D20" s="4" t="str">
        <x:v>Draft security schedule with trigger, deadline, contacts and updates</x:v>
      </x:c>
      <x:c r="E20" s="4" t="str">
        <x:v>SIMULATED: Partial narrative</x:v>
      </x:c>
      <x:c r="F20" s="4" t="str">
        <x:v>SIMULATED: Internal procedure cannot replace enforceable notice obligations</x:v>
      </x:c>
      <x:c r="G20" s="4" t="str">
        <x:v>No real evidence received or reviewed</x:v>
      </x:c>
      <x:c r="H20" s="4" t="str">
        <x:v>F-005</x:v>
      </x:c>
      <x:c r="I20" s="4" t="str">
        <x:v>Security Lead (fictional)</x:v>
      </x:c>
      <x:c r="J20" s="16" t="n">
        <x:v>46273</x:v>
      </x:c>
    </x:row>
    <x:row r="21" ht="58" customHeight="1">
      <x:c r="A21" s="11" t="str">
        <x:v>E-17</x:v>
      </x:c>
      <x:c r="B21" s="11" t="str">
        <x:v>Q-033; Q-034</x:v>
      </x:c>
      <x:c r="C21" s="11" t="str">
        <x:v>Daily protected backups claimed; no current restore results supplied</x:v>
      </x:c>
      <x:c r="D21" s="11" t="str">
        <x:v>Coverage, job status and full restoration report with record checks</x:v>
      </x:c>
      <x:c r="E21" s="11" t="str">
        <x:v>SIMULATED: Not supplied in scenario</x:v>
      </x:c>
      <x:c r="F21" s="11" t="str">
        <x:v>SIMULATED: Evidence gap; does not prove backups fail</x:v>
      </x:c>
      <x:c r="G21" s="11" t="str">
        <x:v>No real evidence received or reviewed</x:v>
      </x:c>
      <x:c r="H21" s="11" t="str">
        <x:v>F-003</x:v>
      </x:c>
      <x:c r="I21" s="11" t="str">
        <x:v>Security Lead (fictional)</x:v>
      </x:c>
      <x:c r="J21" s="15" t="n">
        <x:v>46273</x:v>
      </x:c>
    </x:row>
    <x:row r="22" ht="58" customHeight="1">
      <x:c r="A22" s="4" t="str">
        <x:v>E-18</x:v>
      </x:c>
      <x:c r="B22" s="4" t="str">
        <x:v>Q-035; Q-036</x:v>
      </x:c>
      <x:c r="C22" s="4" t="str">
        <x:v>RTO/RPO of 24 hours claimed; no timed recovery report</x:v>
      </x:c>
      <x:c r="D22" s="4" t="str">
        <x:v>Agreed HR objectives and recovery exercise results</x:v>
      </x:c>
      <x:c r="E22" s="4" t="str">
        <x:v>SIMULATED: Not supplied in scenario</x:v>
      </x:c>
      <x:c r="F22" s="4" t="str">
        <x:v>SIMULATED: HR tolerance must be validated; core-app 8-hour RTO not automatically inherited</x:v>
      </x:c>
      <x:c r="G22" s="4" t="str">
        <x:v>No real evidence received or reviewed</x:v>
      </x:c>
      <x:c r="H22" s="4" t="str">
        <x:v>F-003</x:v>
      </x:c>
      <x:c r="I22" s="4" t="str">
        <x:v>Security Lead (fictional)</x:v>
      </x:c>
      <x:c r="J22" s="16" t="n">
        <x:v>46273</x:v>
      </x:c>
    </x:row>
    <x:row r="23" ht="58" customHeight="1">
      <x:c r="A23" s="11" t="str">
        <x:v>E-19</x:v>
      </x:c>
      <x:c r="B23" s="11" t="str">
        <x:v>Q-037; Q-038</x:v>
      </x:c>
      <x:c r="C23" s="11" t="str">
        <x:v>List described; periodic reviews incomplete</x:v>
      </x:c>
      <x:c r="D23" s="11" t="str">
        <x:v>Complete processing chain and latest risk-based reviews</x:v>
      </x:c>
      <x:c r="E23" s="11" t="str">
        <x:v>SIMULATED: Partial narrative</x:v>
      </x:c>
      <x:c r="F23" s="11" t="str">
        <x:v>SIMULATED: Real entities, locations and transfer arrangements remain to be validated</x:v>
      </x:c>
      <x:c r="G23" s="11" t="str">
        <x:v>No real evidence received or reviewed</x:v>
      </x:c>
      <x:c r="H23" s="11" t="str">
        <x:v>F-002</x:v>
      </x:c>
      <x:c r="I23" s="11" t="str">
        <x:v>Security Lead (fictional)</x:v>
      </x:c>
      <x:c r="J23" s="15" t="n">
        <x:v>46273</x:v>
      </x:c>
    </x:row>
    <x:row r="24" ht="58" customHeight="1">
      <x:c r="A24" s="4" t="str">
        <x:v>E-20</x:v>
      </x:c>
      <x:c r="B24" s="4" t="str">
        <x:v>Q-039; Q-040</x:v>
      </x:c>
      <x:c r="C24" s="4" t="str">
        <x:v>Baseline flow-down described; change arrangements incomplete</x:v>
      </x:c>
      <x:c r="D24" s="4" t="str">
        <x:v>Flow-down terms and proposed notice/objection/exit provisions</x:v>
      </x:c>
      <x:c r="E24" s="4" t="str">
        <x:v>SIMULATED: Partial narrative</x:v>
      </x:c>
      <x:c r="F24" s="4" t="str">
        <x:v>SIMULATED: Monitoring and material-change commitments need completion</x:v>
      </x:c>
      <x:c r="G24" s="4" t="str">
        <x:v>No real evidence received or reviewed</x:v>
      </x:c>
      <x:c r="H24" s="4" t="str">
        <x:v>F-002</x:v>
      </x:c>
      <x:c r="I24" s="4" t="str">
        <x:v>Security Lead (fictional)</x:v>
      </x:c>
      <x:c r="J24" s="16" t="n">
        <x:v>46273</x:v>
      </x:c>
    </x:row>
    <x:row r="25" ht="58" customHeight="1">
      <x:c r="A25" s="11" t="str">
        <x:v>E-21</x:v>
      </x:c>
      <x:c r="B25" s="11" t="str">
        <x:v>Q-041; Q-042</x:v>
      </x:c>
      <x:c r="C25" s="11" t="str">
        <x:v>Design checks, code review and release gates described</x:v>
      </x:c>
      <x:c r="D25" s="11" t="str">
        <x:v>Development policy, review sample and security acceptance criteria</x:v>
      </x:c>
      <x:c r="E25" s="11" t="str">
        <x:v>SIMULATED: Narrative supplied</x:v>
      </x:c>
      <x:c r="F25" s="11" t="str">
        <x:v>SIMULATED: Representative sampling needed in a real assessment</x:v>
      </x:c>
      <x:c r="G25" s="11" t="str">
        <x:v>No real evidence received or reviewed</x:v>
      </x:c>
      <x:c r="H25" s="11" t="str">
        <x:v>None</x:v>
      </x:c>
      <x:c r="I25" s="11" t="str">
        <x:v>Security Lead (fictional)</x:v>
      </x:c>
      <x:c r="J25" s="15" t="n">
        <x:v>46273</x:v>
      </x:c>
    </x:row>
    <x:row r="26" ht="58" customHeight="1">
      <x:c r="A26" s="4" t="str">
        <x:v>E-22</x:v>
      </x:c>
      <x:c r="B26" s="4" t="str">
        <x:v>Q-043; Q-044</x:v>
      </x:c>
      <x:c r="C26" s="4" t="str">
        <x:v>Managed secrets; raw HR extracts may enter test without proven masking</x:v>
      </x:c>
      <x:c r="D26" s="4" t="str">
        <x:v>Secrets design, environment/data inventory and test-data safeguards</x:v>
      </x:c>
      <x:c r="E26" s="4" t="str">
        <x:v>SIMULATED: Partial narrative</x:v>
      </x:c>
      <x:c r="F26" s="4" t="str">
        <x:v>SIMULATED: Separation does not secure copied production records</x:v>
      </x:c>
      <x:c r="G26" s="4" t="str">
        <x:v>No real evidence received or reviewed</x:v>
      </x:c>
      <x:c r="H26" s="4" t="str">
        <x:v>F-006</x:v>
      </x:c>
      <x:c r="I26" s="4" t="str">
        <x:v>Security Lead (fictional)</x:v>
      </x:c>
      <x:c r="J26" s="16" t="n">
        <x:v>46273</x:v>
      </x:c>
    </x:row>
    <x:row r="27" ht="58" customHeight="1">
      <x:c r="A27" s="11" t="str">
        <x:v>E-23</x:v>
      </x:c>
      <x:c r="B27" s="11" t="str">
        <x:v>Q-045; Q-046</x:v>
      </x:c>
      <x:c r="C27" s="11" t="str">
        <x:v>HR purposes and retention policy described; backup lifecycle unclear</x:v>
      </x:c>
      <x:c r="D27" s="11" t="str">
        <x:v>Processing instructions, field minimization and retention schedule</x:v>
      </x:c>
      <x:c r="E27" s="11" t="str">
        <x:v>SIMULATED: Partial narrative</x:v>
      </x:c>
      <x:c r="F27" s="11" t="str">
        <x:v>SIMULATED: Reconcile backup retention and customer exit instructions</x:v>
      </x:c>
      <x:c r="G27" s="11" t="str">
        <x:v>No real evidence received or reviewed</x:v>
      </x:c>
      <x:c r="H27" s="11" t="str">
        <x:v>F-008</x:v>
      </x:c>
      <x:c r="I27" s="11" t="str">
        <x:v>Security Lead (fictional)</x:v>
      </x:c>
      <x:c r="J27" s="15" t="n">
        <x:v>46273</x:v>
      </x:c>
    </x:row>
    <x:row r="28" ht="58" customHeight="1">
      <x:c r="A28" s="4" t="str">
        <x:v>E-24</x:v>
      </x:c>
      <x:c r="B28" s="4" t="str">
        <x:v>Q-047; Q-048</x:v>
      </x:c>
      <x:c r="C28" s="4" t="str">
        <x:v>Draft processing schedule and request workflow described</x:v>
      </x:c>
      <x:c r="D28" s="4" t="str">
        <x:v>Processing/transfer review and sample export/deletion validation</x:v>
      </x:c>
      <x:c r="E28" s="4" t="str">
        <x:v>SIMULATED: Partial narrative</x:v>
      </x:c>
      <x:c r="F28" s="4" t="str">
        <x:v>SIMULATED: Jurisdictions and contractual requirements need contextual review</x:v>
      </x:c>
      <x:c r="G28" s="4" t="str">
        <x:v>No real evidence received or reviewed</x:v>
      </x:c>
      <x:c r="H28" s="4" t="str">
        <x:v>F-002; F-008</x:v>
      </x:c>
      <x:c r="I28" s="4" t="str">
        <x:v>Security Lead (fictional)</x:v>
      </x:c>
      <x:c r="J28" s="16" t="n">
        <x:v>46273</x:v>
      </x:c>
    </x:row>
  </x:sheetData>
  <x:mergeCells>
    <x:mergeCell ref="A1:J1"/>
    <x:mergeCell ref="A2:J2"/>
  </x:mergeCells>
  <x:pageMargins left="0.7" right="0.7" top="0.75" bottom="0.75" header="0.3" footer="0.3"/>
  <x:tableParts count="1">
    <x:tablePart xmlns:r="http://schemas.openxmlformats.org/officeDocument/2006/relationships" r:id="R4c6c61c728ee40f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25" hidden="0" customWidth="1"/>
    <x:col min="4" max="4" width="25" hidden="0" customWidth="1"/>
    <x:col min="5" max="5" width="79" hidden="0" customWidth="1"/>
    <x:col min="6" max="6" width="13" hidden="0" customWidth="1"/>
    <x:col min="7" max="7" width="13" hidden="0" customWidth="1"/>
    <x:col min="8" max="8" width="15" hidden="0" customWidth="1"/>
    <x:col min="9" max="9" width="16" hidden="0" customWidth="1"/>
    <x:col min="10" max="10" width="65" hidden="0" customWidth="1"/>
    <x:col min="11" max="11" width="14" hidden="0" customWidth="1"/>
    <x:col min="12" max="12" width="14" hidden="0" customWidth="1"/>
    <x:col min="13" max="13" width="16" hidden="0" customWidth="1"/>
    <x:col min="14" max="14" width="17" hidden="0" customWidth="1"/>
    <x:col min="15" max="15" width="24" hidden="0" customWidth="1"/>
    <x:col min="16" max="16" width="36" hidden="0" customWidth="1"/>
    <x:col min="17" max="17" width="31" hidden="0" customWidth="1"/>
    <x:col min="18" max="18" width="38" hidden="0" customWidth="1"/>
  </x:cols>
  <x:sheetData>
    <x:row r="1" ht="36" customHeight="1">
      <x:c r="A1" s="7" t="str">
        <x:v>Vendor findings and current assessed risk</x:v>
      </x:c>
      <x:c r="B1" s="6"/>
      <x:c r="C1" s="6"/>
      <x:c r="D1" s="6"/>
      <x:c r="E1" s="6"/>
      <x:c r="F1" s="6"/>
      <x:c r="G1" s="6"/>
      <x:c r="H1" s="6"/>
      <x:c r="I1" s="6"/>
      <x:c r="J1" s="6"/>
      <x:c r="K1" s="6"/>
      <x:c r="L1" s="6"/>
      <x:c r="M1" s="6"/>
      <x:c r="N1" s="6"/>
      <x:c r="O1" s="6"/>
      <x:c r="P1" s="6"/>
      <x:c r="Q1" s="6"/>
      <x:c r="R1" s="6"/>
    </x:row>
    <x:row r="2" ht="44" customHeight="1">
      <x:c r="A2" s="8" t="str">
        <x:v>Current finding risk considers only stated scenario safeguards. Projected targets are not achieved residual risk. All findings remain open; no acceptance or verification occurred.</x:v>
      </x:c>
      <x:c r="B2" s="4"/>
      <x:c r="C2" s="4"/>
      <x:c r="D2" s="4"/>
      <x:c r="E2" s="4"/>
      <x:c r="F2" s="4"/>
      <x:c r="G2" s="4"/>
      <x:c r="H2" s="4"/>
      <x:c r="I2" s="4"/>
      <x:c r="J2" s="4"/>
      <x:c r="K2" s="4"/>
      <x:c r="L2" s="4"/>
      <x:c r="M2" s="4"/>
      <x:c r="N2" s="4"/>
      <x:c r="O2" s="4"/>
      <x:c r="P2" s="4"/>
      <x:c r="Q2" s="4"/>
      <x:c r="R2" s="4"/>
    </x:row>
    <x:row r="3" ht="12" customHeight="1">
      <x:c r="A3" s="4"/>
      <x:c r="B3" s="4"/>
      <x:c r="C3" s="4"/>
      <x:c r="D3" s="4"/>
      <x:c r="E3" s="4"/>
      <x:c r="F3" s="4"/>
      <x:c r="G3" s="4"/>
      <x:c r="H3" s="4"/>
      <x:c r="I3" s="4"/>
      <x:c r="J3" s="4"/>
      <x:c r="K3" s="4"/>
      <x:c r="L3" s="4"/>
      <x:c r="M3" s="4"/>
      <x:c r="N3" s="4"/>
      <x:c r="O3" s="4"/>
      <x:c r="P3" s="4"/>
      <x:c r="Q3" s="4"/>
      <x:c r="R3" s="4"/>
    </x:row>
    <x:row r="4" ht="42" customHeight="1">
      <x:c r="A4" s="10" t="str">
        <x:v>Finding ID</x:v>
      </x:c>
      <x:c r="B4" s="10" t="str">
        <x:v>Finding</x:v>
      </x:c>
      <x:c r="C4" s="10" t="str">
        <x:v>Gap type</x:v>
      </x:c>
      <x:c r="D4" s="10" t="str">
        <x:v>Evidence IDs</x:v>
      </x:c>
      <x:c r="E4" s="10" t="str">
        <x:v>Risk statement</x:v>
      </x:c>
      <x:c r="F4" s="10" t="str">
        <x:v>Current L</x:v>
      </x:c>
      <x:c r="G4" s="10" t="str">
        <x:v>Current I</x:v>
      </x:c>
      <x:c r="H4" s="10" t="str">
        <x:v>Current score</x:v>
      </x:c>
      <x:c r="I4" s="10" t="str">
        <x:v>Severity</x:v>
      </x:c>
      <x:c r="J4" s="10" t="str">
        <x:v>Existing controls (assumed)</x:v>
      </x:c>
      <x:c r="K4" s="10" t="str">
        <x:v>Projected L</x:v>
      </x:c>
      <x:c r="L4" s="10" t="str">
        <x:v>Projected I</x:v>
      </x:c>
      <x:c r="M4" s="10" t="str">
        <x:v>Projected score</x:v>
      </x:c>
      <x:c r="N4" s="10" t="str">
        <x:v>Projected band</x:v>
      </x:c>
      <x:c r="O4" s="10" t="str">
        <x:v>Status</x:v>
      </x:c>
      <x:c r="P4" s="10" t="str">
        <x:v>Northstar risk owner</x:v>
      </x:c>
      <x:c r="Q4" s="10" t="str">
        <x:v>Decision gate</x:v>
      </x:c>
      <x:c r="R4" s="10" t="str">
        <x:v>Supplier references</x:v>
      </x:c>
    </x:row>
    <x:row r="5" ht="42" customHeight="1">
      <x:c r="A5" s="11" t="str">
        <x:v>F-001</x:v>
      </x:c>
      <x:c r="B5" s="11" t="str">
        <x:v>Privileged MFA exception</x:v>
      </x:c>
      <x:c r="C5" s="11" t="str">
        <x:v>Known control gap</x:v>
      </x:c>
      <x:c r="D5" s="11" t="str">
        <x:v>E-05</x:v>
      </x:c>
      <x:c r="E5" s="11" t="str">
        <x:v>A support account without MFA could be compromised, exposing or altering sensitive employee records.</x:v>
      </x:c>
      <x:c r="F5" s="12" t="n">
        <x:v>4</x:v>
      </x:c>
      <x:c r="G5" s="12" t="n">
        <x:v>4</x:v>
      </x:c>
      <x:c r="H5" s="17" t="n">
        <x:f>F5*G5</x:f>
        <x:v>16</x:v>
      </x:c>
      <x:c r="I5" s="17" t="str">
        <x:f>IF(H5&lt;='Criteria and Scope'!$B$6,"Low",IF(H5&lt;='Criteria and Scope'!$B$7,"Medium",IF(H5&lt;='Criteria and Scope'!$B$8,"High","Critical")))</x:f>
        <x:v>High</x:v>
      </x:c>
      <x:c r="J5" s="11" t="str">
        <x:v>Routine MFA and restricted roles assumed; legacy exception remains.</x:v>
      </x:c>
      <x:c r="K5" s="12" t="n">
        <x:v>2</x:v>
      </x:c>
      <x:c r="L5" s="12" t="n">
        <x:v>4</x:v>
      </x:c>
      <x:c r="M5" s="17" t="n">
        <x:f>K5*L5</x:f>
        <x:v>8</x:v>
      </x:c>
      <x:c r="N5" s="17" t="str">
        <x:f>IF(M5&lt;='Criteria and Scope'!$B$6,"Low",IF(M5&lt;='Criteria and Scope'!$B$7,"Medium",IF(M5&lt;='Criteria and Scope'!$B$8,"High","Critical")))</x:f>
        <x:v>Medium</x:v>
      </x:c>
      <x:c r="O5" s="11" t="str">
        <x:v>Open - proposed</x:v>
      </x:c>
      <x:c r="P5" s="11" t="str">
        <x:v>Northstar Head of IT (fictional)</x:v>
      </x:c>
      <x:c r="Q5" s="11" t="str">
        <x:v>Before renewal</x:v>
      </x:c>
      <x:c r="R5" s="11" t="str">
        <x:v>A.5.19; A.5.23</x:v>
      </x:c>
    </x:row>
    <x:row r="6" ht="42" customHeight="1">
      <x:c r="A6" s="4" t="str">
        <x:v>F-002</x:v>
      </x:c>
      <x:c r="B6" s="4" t="str">
        <x:v>Incomplete subprocessor assurance</x:v>
      </x:c>
      <x:c r="C6" s="4" t="str">
        <x:v>Evidence / governance gap</x:v>
      </x:c>
      <x:c r="D6" s="4" t="str">
        <x:v>E-19; E-20; E-24</x:v>
      </x:c>
      <x:c r="E6" s="4" t="str">
        <x:v>A subprocessor could mishandle HR data because reassessment and change arrangements are incomplete, causing personal-data disclosure.</x:v>
      </x:c>
      <x:c r="F6" s="13" t="n">
        <x:v>2</x:v>
      </x:c>
      <x:c r="G6" s="13" t="n">
        <x:v>4</x:v>
      </x:c>
      <x:c r="H6" s="18" t="n">
        <x:f>F6*G6</x:f>
        <x:v>8</x:v>
      </x:c>
      <x:c r="I6" s="18" t="str">
        <x:f>IF(H6&lt;='Criteria and Scope'!$B$6,"Low",IF(H6&lt;='Criteria and Scope'!$B$7,"Medium",IF(H6&lt;='Criteria and Scope'!$B$8,"High","Critical")))</x:f>
        <x:v>Medium</x:v>
      </x:c>
      <x:c r="J6" s="4" t="str">
        <x:v>Approved supplier list and initial checks assumed; ongoing coverage unsubstantiated.</x:v>
      </x:c>
      <x:c r="K6" s="13" t="n">
        <x:v>1</x:v>
      </x:c>
      <x:c r="L6" s="13" t="n">
        <x:v>4</x:v>
      </x:c>
      <x:c r="M6" s="18" t="n">
        <x:f>K6*L6</x:f>
        <x:v>4</x:v>
      </x:c>
      <x:c r="N6" s="18" t="str">
        <x:f>IF(M6&lt;='Criteria and Scope'!$B$6,"Low",IF(M6&lt;='Criteria and Scope'!$B$7,"Medium",IF(M6&lt;='Criteria and Scope'!$B$8,"High","Critical")))</x:f>
        <x:v>Low</x:v>
      </x:c>
      <x:c r="O6" s="4" t="str">
        <x:v>Open - proposed</x:v>
      </x:c>
      <x:c r="P6" s="4" t="str">
        <x:v>Northstar Operations Lead (fictional)</x:v>
      </x:c>
      <x:c r="Q6" s="4" t="str">
        <x:v>Post-renewal commitment</x:v>
      </x:c>
      <x:c r="R6" s="4" t="str">
        <x:v>A.5.19; A.5.20; A.5.21; A.5.22</x:v>
      </x:c>
    </x:row>
    <x:row r="7" ht="42" customHeight="1">
      <x:c r="A7" s="11" t="str">
        <x:v>F-003</x:v>
      </x:c>
      <x:c r="B7" s="11" t="str">
        <x:v>Recovery capability unsubstantiated</x:v>
      </x:c>
      <x:c r="C7" s="11" t="str">
        <x:v>Evidence gap</x:v>
      </x:c>
      <x:c r="D7" s="11" t="str">
        <x:v>E-17; E-18</x:v>
      </x:c>
      <x:c r="E7" s="11" t="str">
        <x:v>HR records may remain unavailable after failure because recovery is unproven, disrupting payroll preparation and employee administration.</x:v>
      </x:c>
      <x:c r="F7" s="12" t="n">
        <x:v>3</x:v>
      </x:c>
      <x:c r="G7" s="12" t="n">
        <x:v>4</x:v>
      </x:c>
      <x:c r="H7" s="17" t="n">
        <x:f>F7*G7</x:f>
        <x:v>12</x:v>
      </x:c>
      <x:c r="I7" s="17" t="str">
        <x:f>IF(H7&lt;='Criteria and Scope'!$B$6,"Low",IF(H7&lt;='Criteria and Scope'!$B$7,"Medium",IF(H7&lt;='Criteria and Scope'!$B$8,"High","Critical")))</x:f>
        <x:v>High</x:v>
      </x:c>
      <x:c r="J7" s="11" t="str">
        <x:v>Daily protected copies assumed; no credit for successful restore or duration.</x:v>
      </x:c>
      <x:c r="K7" s="12" t="n">
        <x:v>2</x:v>
      </x:c>
      <x:c r="L7" s="12" t="n">
        <x:v>3</x:v>
      </x:c>
      <x:c r="M7" s="17" t="n">
        <x:f>K7*L7</x:f>
        <x:v>6</x:v>
      </x:c>
      <x:c r="N7" s="17" t="str">
        <x:f>IF(M7&lt;='Criteria and Scope'!$B$6,"Low",IF(M7&lt;='Criteria and Scope'!$B$7,"Medium",IF(M7&lt;='Criteria and Scope'!$B$8,"High","Critical")))</x:f>
        <x:v>Medium</x:v>
      </x:c>
      <x:c r="O7" s="11" t="str">
        <x:v>Open - proposed</x:v>
      </x:c>
      <x:c r="P7" s="11" t="str">
        <x:v>Northstar People Lead (fictional)</x:v>
      </x:c>
      <x:c r="Q7" s="11" t="str">
        <x:v>Before renewal</x:v>
      </x:c>
      <x:c r="R7" s="11" t="str">
        <x:v>A.5.19; A.5.20; A.5.23</x:v>
      </x:c>
    </x:row>
    <x:row r="8" ht="42" customHeight="1">
      <x:c r="A8" s="4" t="str">
        <x:v>F-004</x:v>
      </x:c>
      <x:c r="B8" s="4" t="str">
        <x:v>Annual privilege review</x:v>
      </x:c>
      <x:c r="C8" s="4" t="str">
        <x:v>Control design gap</x:v>
      </x:c>
      <x:c r="D8" s="4" t="str">
        <x:v>E-06</x:v>
      </x:c>
      <x:c r="E8" s="4" t="str">
        <x:v>Excess privileges may persist because reviews are annual, enabling inappropriate access to employee records.</x:v>
      </x:c>
      <x:c r="F8" s="13" t="n">
        <x:v>2</x:v>
      </x:c>
      <x:c r="G8" s="13" t="n">
        <x:v>4</x:v>
      </x:c>
      <x:c r="H8" s="18" t="n">
        <x:f>F8*G8</x:f>
        <x:v>8</x:v>
      </x:c>
      <x:c r="I8" s="18" t="str">
        <x:f>IF(H8&lt;='Criteria and Scope'!$B$6,"Low",IF(H8&lt;='Criteria and Scope'!$B$7,"Medium",IF(H8&lt;='Criteria and Scope'!$B$8,"High","Critical")))</x:f>
        <x:v>Medium</x:v>
      </x:c>
      <x:c r="J8" s="4" t="str">
        <x:v>Role restriction and departure revocation assumed; quarterly review absent.</x:v>
      </x:c>
      <x:c r="K8" s="13" t="n">
        <x:v>1</x:v>
      </x:c>
      <x:c r="L8" s="13" t="n">
        <x:v>4</x:v>
      </x:c>
      <x:c r="M8" s="18" t="n">
        <x:f>K8*L8</x:f>
        <x:v>4</x:v>
      </x:c>
      <x:c r="N8" s="18" t="str">
        <x:f>IF(M8&lt;='Criteria and Scope'!$B$6,"Low",IF(M8&lt;='Criteria and Scope'!$B$7,"Medium",IF(M8&lt;='Criteria and Scope'!$B$8,"High","Critical")))</x:f>
        <x:v>Low</x:v>
      </x:c>
      <x:c r="O8" s="4" t="str">
        <x:v>Open - proposed</x:v>
      </x:c>
      <x:c r="P8" s="4" t="str">
        <x:v>Northstar Head of IT (fictional)</x:v>
      </x:c>
      <x:c r="Q8" s="4" t="str">
        <x:v>Post-renewal commitment</x:v>
      </x:c>
      <x:c r="R8" s="4" t="str">
        <x:v>A.5.19; A.5.22</x:v>
      </x:c>
    </x:row>
    <x:row r="9" ht="42" customHeight="1">
      <x:c r="A9" s="11" t="str">
        <x:v>F-005</x:v>
      </x:c>
      <x:c r="B9" s="11" t="str">
        <x:v>Unclear incident notice terms</x:v>
      </x:c>
      <x:c r="C9" s="11" t="str">
        <x:v>Contract gap</x:v>
      </x:c>
      <x:c r="D9" s="11" t="str">
        <x:v>E-16</x:v>
      </x:c>
      <x:c r="E9" s="11" t="str">
        <x:v>Northstar could receive late notice because incident obligations are vague, delaying containment and employee-response decisions.</x:v>
      </x:c>
      <x:c r="F9" s="12" t="n">
        <x:v>3</x:v>
      </x:c>
      <x:c r="G9" s="12" t="n">
        <x:v>4</x:v>
      </x:c>
      <x:c r="H9" s="17" t="n">
        <x:f>F9*G9</x:f>
        <x:v>12</x:v>
      </x:c>
      <x:c r="I9" s="17" t="str">
        <x:f>IF(H9&lt;='Criteria and Scope'!$B$6,"Low",IF(H9&lt;='Criteria and Scope'!$B$7,"Medium",IF(H9&lt;='Criteria and Scope'!$B$8,"High","Critical")))</x:f>
        <x:v>High</x:v>
      </x:c>
      <x:c r="J9" s="11" t="str">
        <x:v>Internal response procedure assumed; no clear contractual deadline or contacts.</x:v>
      </x:c>
      <x:c r="K9" s="12" t="n">
        <x:v>2</x:v>
      </x:c>
      <x:c r="L9" s="12" t="n">
        <x:v>3</x:v>
      </x:c>
      <x:c r="M9" s="17" t="n">
        <x:f>K9*L9</x:f>
        <x:v>6</x:v>
      </x:c>
      <x:c r="N9" s="17" t="str">
        <x:f>IF(M9&lt;='Criteria and Scope'!$B$6,"Low",IF(M9&lt;='Criteria and Scope'!$B$7,"Medium",IF(M9&lt;='Criteria and Scope'!$B$8,"High","Critical")))</x:f>
        <x:v>Medium</x:v>
      </x:c>
      <x:c r="O9" s="11" t="str">
        <x:v>Open - proposed</x:v>
      </x:c>
      <x:c r="P9" s="11" t="str">
        <x:v>Northstar Operations Lead (fictional)</x:v>
      </x:c>
      <x:c r="Q9" s="11" t="str">
        <x:v>Before renewal</x:v>
      </x:c>
      <x:c r="R9" s="11" t="str">
        <x:v>A.5.20; A.5.23</x:v>
      </x:c>
    </x:row>
    <x:row r="10" ht="42" customHeight="1">
      <x:c r="A10" s="4" t="str">
        <x:v>F-006</x:v>
      </x:c>
      <x:c r="B10" s="4" t="str">
        <x:v>Raw HR data in test</x:v>
      </x:c>
      <x:c r="C10" s="4" t="str">
        <x:v>Known data-handling gap</x:v>
      </x:c>
      <x:c r="D10" s="4" t="str">
        <x:v>E-22</x:v>
      </x:c>
      <x:c r="E10" s="4" t="str">
        <x:v>Employee records could be exposed in lower environments because production-derived datasets lack demonstrated masking or removal.</x:v>
      </x:c>
      <x:c r="F10" s="13" t="n">
        <x:v>3</x:v>
      </x:c>
      <x:c r="G10" s="13" t="n">
        <x:v>4</x:v>
      </x:c>
      <x:c r="H10" s="18" t="n">
        <x:f>F10*G10</x:f>
        <x:v>12</x:v>
      </x:c>
      <x:c r="I10" s="18" t="str">
        <x:f>IF(H10&lt;='Criteria and Scope'!$B$6,"Low",IF(H10&lt;='Criteria and Scope'!$B$7,"Medium",IF(H10&lt;='Criteria and Scope'!$B$8,"High","Critical")))</x:f>
        <x:v>High</x:v>
      </x:c>
      <x:c r="J10" s="4" t="str">
        <x:v>Separate environments and managed secrets assumed; raw copies remain.</x:v>
      </x:c>
      <x:c r="K10" s="13" t="n">
        <x:v>1</x:v>
      </x:c>
      <x:c r="L10" s="13" t="n">
        <x:v>3</x:v>
      </x:c>
      <x:c r="M10" s="18" t="n">
        <x:f>K10*L10</x:f>
        <x:v>3</x:v>
      </x:c>
      <x:c r="N10" s="18" t="str">
        <x:f>IF(M10&lt;='Criteria and Scope'!$B$6,"Low",IF(M10&lt;='Criteria and Scope'!$B$7,"Medium",IF(M10&lt;='Criteria and Scope'!$B$8,"High","Critical")))</x:f>
        <x:v>Low</x:v>
      </x:c>
      <x:c r="O10" s="4" t="str">
        <x:v>Open - proposed</x:v>
      </x:c>
      <x:c r="P10" s="4" t="str">
        <x:v>Northstar Security Lead (fictional)</x:v>
      </x:c>
      <x:c r="Q10" s="4" t="str">
        <x:v>Before renewal</x:v>
      </x:c>
      <x:c r="R10" s="4" t="str">
        <x:v>A.5.19; A.5.23</x:v>
      </x:c>
    </x:row>
    <x:row r="11" ht="42" customHeight="1">
      <x:c r="A11" s="11" t="str">
        <x:v>F-007</x:v>
      </x:c>
      <x:c r="B11" s="11" t="str">
        <x:v>Entra API permissions unclear</x:v>
      </x:c>
      <x:c r="C11" s="11" t="str">
        <x:v>Evidence gap</x:v>
      </x:c>
      <x:c r="D11" s="11" t="str">
        <x:v>E-07</x:v>
      </x:c>
      <x:c r="E11" s="11" t="str">
        <x:v>An integration might read or modify unnecessary identity fields because its permissions and token lifecycle are undocumented.</x:v>
      </x:c>
      <x:c r="F11" s="12" t="n">
        <x:v>2</x:v>
      </x:c>
      <x:c r="G11" s="12" t="n">
        <x:v>4</x:v>
      </x:c>
      <x:c r="H11" s="17" t="n">
        <x:f>F11*G11</x:f>
        <x:v>8</x:v>
      </x:c>
      <x:c r="I11" s="17" t="str">
        <x:f>IF(H11&lt;='Criteria and Scope'!$B$6,"Low",IF(H11&lt;='Criteria and Scope'!$B$7,"Medium",IF(H11&lt;='Criteria and Scope'!$B$8,"High","Critical")))</x:f>
        <x:v>Medium</x:v>
      </x:c>
      <x:c r="J11" s="11" t="str">
        <x:v>SSO and administrator consent assumed; complete scope evidence absent.</x:v>
      </x:c>
      <x:c r="K11" s="12" t="n">
        <x:v>1</x:v>
      </x:c>
      <x:c r="L11" s="12" t="n">
        <x:v>4</x:v>
      </x:c>
      <x:c r="M11" s="17" t="n">
        <x:f>K11*L11</x:f>
        <x:v>4</x:v>
      </x:c>
      <x:c r="N11" s="17" t="str">
        <x:f>IF(M11&lt;='Criteria and Scope'!$B$6,"Low",IF(M11&lt;='Criteria and Scope'!$B$7,"Medium",IF(M11&lt;='Criteria and Scope'!$B$8,"High","Critical")))</x:f>
        <x:v>Low</x:v>
      </x:c>
      <x:c r="O11" s="11" t="str">
        <x:v>Open - proposed</x:v>
      </x:c>
      <x:c r="P11" s="11" t="str">
        <x:v>Northstar Head of IT (fictional)</x:v>
      </x:c>
      <x:c r="Q11" s="11" t="str">
        <x:v>Integration activation gate</x:v>
      </x:c>
      <x:c r="R11" s="11" t="str">
        <x:v>A.5.19; A.5.23</x:v>
      </x:c>
    </x:row>
    <x:row r="12" ht="58" customHeight="1">
      <x:c r="A12" s="4" t="str">
        <x:v>F-008</x:v>
      </x:c>
      <x:c r="B12" s="4" t="str">
        <x:v>Backup deletion / exit unclear</x:v>
      </x:c>
      <x:c r="C12" s="4" t="str">
        <x:v>Evidence / contract gap</x:v>
      </x:c>
      <x:c r="D12" s="4" t="str">
        <x:v>E-10; E-23; E-24</x:v>
      </x:c>
      <x:c r="E12" s="4" t="str">
        <x:v>Retained employee copies could remain exposed after exit because backup expiry and confirmation are unclear, extending access beyond approved purposes.</x:v>
      </x:c>
      <x:c r="F12" s="13" t="n">
        <x:v>2</x:v>
      </x:c>
      <x:c r="G12" s="13" t="n">
        <x:v>3</x:v>
      </x:c>
      <x:c r="H12" s="18" t="n">
        <x:f>F12*G12</x:f>
        <x:v>6</x:v>
      </x:c>
      <x:c r="I12" s="18" t="str">
        <x:f>IF(H12&lt;='Criteria and Scope'!$B$6,"Low",IF(H12&lt;='Criteria and Scope'!$B$7,"Medium",IF(H12&lt;='Criteria and Scope'!$B$8,"High","Critical")))</x:f>
        <x:v>Medium</x:v>
      </x:c>
      <x:c r="J12" s="4" t="str">
        <x:v>30-day live deletion and restricted backup access assumed; backup lifecycle unclear.</x:v>
      </x:c>
      <x:c r="K12" s="13" t="n">
        <x:v>1</x:v>
      </x:c>
      <x:c r="L12" s="13" t="n">
        <x:v>3</x:v>
      </x:c>
      <x:c r="M12" s="18" t="n">
        <x:f>K12*L12</x:f>
        <x:v>3</x:v>
      </x:c>
      <x:c r="N12" s="18" t="str">
        <x:f>IF(M12&lt;='Criteria and Scope'!$B$6,"Low",IF(M12&lt;='Criteria and Scope'!$B$7,"Medium",IF(M12&lt;='Criteria and Scope'!$B$8,"High","Critical")))</x:f>
        <x:v>Low</x:v>
      </x:c>
      <x:c r="O12" s="4" t="str">
        <x:v>Open - proposed</x:v>
      </x:c>
      <x:c r="P12" s="4" t="str">
        <x:v>Northstar People Lead (fictional)</x:v>
      </x:c>
      <x:c r="Q12" s="4" t="str">
        <x:v>Post-renewal commitment</x:v>
      </x:c>
      <x:c r="R12" s="4" t="str">
        <x:v>A.5.20; A.5.21; A.5.23</x:v>
      </x:c>
    </x:row>
  </x:sheetData>
  <x:mergeCells>
    <x:mergeCell ref="A1:R1"/>
    <x:mergeCell ref="A2:R2"/>
  </x:mergeCells>
  <x:conditionalFormatting sqref="H5:H12">
    <x:cfRule type="cellIs" dxfId="0" priority="1" operator="between">
      <x:formula>1</x:formula>
      <x:formula>4</x:formula>
    </x:cfRule>
    <x:cfRule type="cellIs" dxfId="1" priority="2" operator="between">
      <x:formula>5</x:formula>
      <x:formula>9</x:formula>
    </x:cfRule>
    <x:cfRule type="cellIs" dxfId="2" priority="3" operator="between">
      <x:formula>10</x:formula>
      <x:formula>16</x:formula>
    </x:cfRule>
    <x:cfRule type="cellIs" dxfId="3" priority="4" operator="between">
      <x:formula>17</x:formula>
      <x:formula>25</x:formula>
    </x:cfRule>
  </x:conditionalFormatting>
  <x:conditionalFormatting sqref="M5:M12">
    <x:cfRule type="cellIs" dxfId="4" priority="5" operator="between">
      <x:formula>1</x:formula>
      <x:formula>4</x:formula>
    </x:cfRule>
    <x:cfRule type="cellIs" dxfId="5" priority="6" operator="between">
      <x:formula>5</x:formula>
      <x:formula>9</x:formula>
    </x:cfRule>
    <x:cfRule type="cellIs" dxfId="6" priority="7" operator="between">
      <x:formula>10</x:formula>
      <x:formula>16</x:formula>
    </x:cfRule>
    <x:cfRule type="cellIs" dxfId="7" priority="8" operator="between">
      <x:formula>17</x:formula>
      <x:formula>25</x:formula>
    </x:cfRule>
  </x:conditionalFormatting>
  <x:dataValidations count="5">
    <x:dataValidation type="whole" operator="between" sqref="F5:F12">
      <x:formula1>1</x:formula1>
      <x:formula2>5</x:formula2>
    </x:dataValidation>
    <x:dataValidation type="whole" operator="between" sqref="G5:G12">
      <x:formula1>1</x:formula1>
      <x:formula2>5</x:formula2>
    </x:dataValidation>
    <x:dataValidation type="whole" operator="between" sqref="K5:K12">
      <x:formula1>1</x:formula1>
      <x:formula2>5</x:formula2>
    </x:dataValidation>
    <x:dataValidation type="whole" operator="between" sqref="L5:L12">
      <x:formula1>1</x:formula1>
      <x:formula2>5</x:formula2>
    </x:dataValidation>
    <x:dataValidation type="list" sqref="O5:O12">
      <x:formula1>"Open - proposed,In progress,Evidence pending,Verified - awaiting acceptance,Closed with acceptance"</x:formula1>
    </x:dataValidation>
  </x:dataValidations>
  <x:pageMargins left="0.7" right="0.7" top="0.75" bottom="0.75" header="0.3" footer="0.3"/>
  <x:tableParts count="1">
    <x:tablePart xmlns:r="http://schemas.openxmlformats.org/officeDocument/2006/relationships" r:id="R84235d4a22f64d0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91" hidden="0" customWidth="1"/>
    <x:col min="3" max="3" width="99" hidden="0" customWidth="1"/>
    <x:col min="4" max="4" width="46" hidden="0" customWidth="1"/>
  </x:cols>
  <x:sheetData>
    <x:row r="1" ht="36" customHeight="1">
      <x:c r="A1" s="7" t="str">
        <x:v>Why each current and projected score was chosen</x:v>
      </x:c>
      <x:c r="B1" s="6"/>
      <x:c r="C1" s="6"/>
      <x:c r="D1" s="6"/>
    </x:row>
    <x:row r="2" ht="44" customHeight="1">
      <x:c r="A2" s="8" t="str">
        <x:v>Judgments are fictional and confidence is low. No existing safeguard has been independently validated.</x:v>
      </x:c>
      <x:c r="B2" s="4"/>
      <x:c r="C2" s="4"/>
      <x:c r="D2" s="4"/>
    </x:row>
    <x:row r="3" ht="12" customHeight="1">
      <x:c r="A3" s="4"/>
      <x:c r="B3" s="4"/>
      <x:c r="C3" s="4"/>
      <x:c r="D3" s="4"/>
    </x:row>
    <x:row r="4" ht="42" customHeight="1">
      <x:c r="A4" s="10" t="str">
        <x:v>Finding ID</x:v>
      </x:c>
      <x:c r="B4" s="10" t="str">
        <x:v>Current L / I rationale</x:v>
      </x:c>
      <x:c r="C4" s="10" t="str">
        <x:v>Projected L / I rationale</x:v>
      </x:c>
      <x:c r="D4" s="10" t="str">
        <x:v>Evidence confidence</x:v>
      </x:c>
    </x:row>
    <x:row r="5" ht="42" customHeight="1">
      <x:c r="A5" s="11" t="str">
        <x:v>F-001</x:v>
      </x:c>
      <x:c r="B5" s="11" t="str">
        <x:v>L4: Single-factor privileged entry makes compromise likely. I4: Sensitive employee/payroll information is exposed.</x:v>
      </x:c>
      <x:c r="C5" s="11" t="str">
        <x:v>L2 only after coverage/bypass checks pass; I4 remains major.</x:v>
      </x:c>
      <x:c r="D5" s="11" t="str">
        <x:v>Low: scenario narrative only. No actual evidence received.</x:v>
      </x:c>
    </x:row>
    <x:row r="6" ht="42" customHeight="1">
      <x:c r="A6" s="4" t="str">
        <x:v>F-002</x:v>
      </x:c>
      <x:c r="B6" s="4" t="str">
        <x:v>L2: Initial supplier checks and flow-down narrow exposure, but gaps remain. I4: Sensitive records are at stake.</x:v>
      </x:c>
      <x:c r="C6" s="4" t="str">
        <x:v>L1 requires complete risk-based reviews and effective adverse-change response; I4 unchanged.</x:v>
      </x:c>
      <x:c r="D6" s="4" t="str">
        <x:v>Low: scenario narrative only. No actual evidence received.</x:v>
      </x:c>
    </x:row>
    <x:row r="7" ht="42" customHeight="1">
      <x:c r="A7" s="11" t="str">
        <x:v>F-003</x:v>
      </x:c>
      <x:c r="B7" s="11" t="str">
        <x:v>L3: Failure on recovery demand is plausible without demonstrated restores. I4: Prolonged outage could materially disrupt payroll preparation.</x:v>
      </x:c>
      <x:c r="C7" s="11" t="str">
        <x:v>L2/I3 needs recovery evidence AND tested workaround limiting business harm; a 24-hour RTO alone does not justify impact reduction.</x:v>
      </x:c>
      <x:c r="D7" s="11" t="str">
        <x:v>Low: scenario narrative only. No actual evidence received.</x:v>
      </x:c>
    </x:row>
    <x:row r="8" ht="42" customHeight="1">
      <x:c r="A8" s="4" t="str">
        <x:v>F-004</x:v>
      </x:c>
      <x:c r="B8" s="4" t="str">
        <x:v>L2: Restricted roles and leaver revocation reduce likelihood, but stale rights remain plausible. I4: Misuse exposes sensitive records.</x:v>
      </x:c>
      <x:c r="C8" s="4" t="str">
        <x:v>L1 after full review and sustainable cadence demonstrated; I4 unchanged.</x:v>
      </x:c>
      <x:c r="D8" s="4" t="str">
        <x:v>Low: scenario narrative only. No actual evidence received.</x:v>
      </x:c>
    </x:row>
    <x:row r="9" ht="42" customHeight="1">
      <x:c r="A9" s="11" t="str">
        <x:v>F-005</x:v>
      </x:c>
      <x:c r="B9" s="11" t="str">
        <x:v>L3: Vague terms make material delay plausible. I4: Delay can amplify harm and disrupt response.</x:v>
      </x:c>
      <x:c r="C9" s="11" t="str">
        <x:v>L2/I3 concerns additional harm from notification delay, not the breach itself. Requires tested communication. The deadline is proposed, not statutory.</x:v>
      </x:c>
      <x:c r="D9" s="11" t="str">
        <x:v>Low: scenario narrative only. No actual evidence received.</x:v>
      </x:c>
    </x:row>
    <x:row r="10" ht="42" customHeight="1">
      <x:c r="A10" s="4" t="str">
        <x:v>F-006</x:v>
      </x:c>
      <x:c r="B10" s="4" t="str">
        <x:v>L3: Broader test access makes disclosure plausible. I4: Copies contain sensitive employee records.</x:v>
      </x:c>
      <x:c r="C10" s="4" t="str">
        <x:v>L1/I3 assumes all raw copies removed and prevention tested; surviving full copies retain I4. Residual event is limited accidental reintroduction.</x:v>
      </x:c>
      <x:c r="D10" s="4" t="str">
        <x:v>Low: scenario narrative only. No actual evidence received.</x:v>
      </x:c>
    </x:row>
    <x:row r="11" ht="42" customHeight="1">
      <x:c r="A11" s="11" t="str">
        <x:v>F-007</x:v>
      </x:c>
      <x:c r="B11" s="11" t="str">
        <x:v>L2: Intended employee provisioning is narrow; undocumented scopes create exposure. I4: Identity or HR data could be misused.</x:v>
      </x:c>
      <x:c r="C11" s="11" t="str">
        <x:v>L1 after least-privilege and revocation proof; I4 unchanged. Existing HR use is assessed separately from the disabled new API.</x:v>
      </x:c>
      <x:c r="D11" s="11" t="str">
        <x:v>Low: scenario narrative only. No actual evidence received.</x:v>
      </x:c>
    </x:row>
    <x:row r="12" ht="42" customHeight="1">
      <x:c r="A12" s="4" t="str">
        <x:v>F-008</x:v>
      </x:c>
      <x:c r="B12" s="4" t="str">
        <x:v>L2: Restricted backup access and live deletion reduce exposure. I3: Defined event is limited retained-copy misuse; broad sensitive disclosure requires I4 reassessment.</x:v>
      </x:c>
      <x:c r="C12" s="4" t="str">
        <x:v>L1 after evidenced retention/exit process; I3 unchanged for the bounded event.</x:v>
      </x:c>
      <x:c r="D12" s="4" t="str">
        <x:v>Low: scenario narrative only. No actual evidence received.</x:v>
      </x:c>
    </x:row>
  </x:sheetData>
  <x:mergeCells>
    <x:mergeCell ref="A1:D1"/>
    <x:mergeCell ref="A2:D2"/>
  </x:mergeCells>
  <x:pageMargins left="0.7" right="0.7" top="0.75" bottom="0.75" header="0.3" footer="0.3"/>
  <x:tableParts count="1">
    <x:tablePart xmlns:r="http://schemas.openxmlformats.org/officeDocument/2006/relationships" r:id="R2277fdd9a8804e4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15" hidden="0" customWidth="1"/>
    <x:col min="3" max="3" width="83" hidden="0" customWidth="1"/>
    <x:col min="4" max="4" width="36" hidden="0" customWidth="1"/>
    <x:col min="5" max="5" width="36" hidden="0" customWidth="1"/>
    <x:col min="6" max="6" width="18" hidden="0" customWidth="1"/>
    <x:col min="7" max="7" width="32" hidden="0" customWidth="1"/>
    <x:col min="8" max="8" width="81" hidden="0" customWidth="1"/>
    <x:col min="9" max="9" width="16" hidden="0" customWidth="1"/>
    <x:col min="10" max="10" width="17" hidden="0" customWidth="1"/>
    <x:col min="11" max="11" width="29" hidden="0" customWidth="1"/>
    <x:col min="12" max="12" width="37" hidden="0" customWidth="1"/>
  </x:cols>
  <x:sheetData>
    <x:row r="1" ht="36" customHeight="1">
      <x:c r="A1" s="7" t="str">
        <x:v>Remediation and risk treatment plan</x:v>
      </x:c>
      <x:c r="B1" s="6"/>
      <x:c r="C1" s="6"/>
      <x:c r="D1" s="6"/>
      <x:c r="E1" s="6"/>
      <x:c r="F1" s="6"/>
      <x:c r="G1" s="6"/>
      <x:c r="H1" s="6"/>
      <x:c r="I1" s="6"/>
      <x:c r="J1" s="6"/>
      <x:c r="K1" s="6"/>
      <x:c r="L1" s="6"/>
    </x:row>
    <x:row r="2" ht="44" customHeight="1">
      <x:c r="A2" s="8" t="str">
        <x:v>All eight findings require an action or dated commitment. Four High findings gate renewal. F-007 additionally gates API activation even though Medium.</x:v>
      </x:c>
      <x:c r="B2" s="4"/>
      <x:c r="C2" s="4"/>
      <x:c r="D2" s="4"/>
      <x:c r="E2" s="4"/>
      <x:c r="F2" s="4"/>
      <x:c r="G2" s="4"/>
      <x:c r="H2" s="4"/>
      <x:c r="I2" s="4"/>
      <x:c r="J2" s="4"/>
      <x:c r="K2" s="4"/>
      <x:c r="L2" s="4"/>
    </x:row>
    <x:row r="3" ht="12" customHeight="1">
      <x:c r="A3" s="4"/>
      <x:c r="B3" s="4"/>
      <x:c r="C3" s="4"/>
      <x:c r="D3" s="4"/>
      <x:c r="E3" s="4"/>
      <x:c r="F3" s="4"/>
      <x:c r="G3" s="4"/>
      <x:c r="H3" s="4"/>
      <x:c r="I3" s="4"/>
      <x:c r="J3" s="4"/>
      <x:c r="K3" s="4"/>
      <x:c r="L3" s="4"/>
    </x:row>
    <x:row r="4" ht="42" customHeight="1">
      <x:c r="A4" s="10" t="str">
        <x:v>Finding ID</x:v>
      </x:c>
      <x:c r="B4" s="10" t="str">
        <x:v>Current score</x:v>
      </x:c>
      <x:c r="C4" s="10" t="str">
        <x:v>Treatment / action</x:v>
      </x:c>
      <x:c r="D4" s="10" t="str">
        <x:v>Vendor delivery owner</x:v>
      </x:c>
      <x:c r="E4" s="10" t="str">
        <x:v>Northstar risk owner</x:v>
      </x:c>
      <x:c r="F4" s="10" t="str">
        <x:v>Target date</x:v>
      </x:c>
      <x:c r="G4" s="10" t="str">
        <x:v>Decision gate</x:v>
      </x:c>
      <x:c r="H4" s="10" t="str">
        <x:v>Closure evidence required</x:v>
      </x:c>
      <x:c r="I4" s="10" t="str">
        <x:v>Projected score</x:v>
      </x:c>
      <x:c r="J4" s="10" t="str">
        <x:v>Projected band</x:v>
      </x:c>
      <x:c r="K4" s="10" t="str">
        <x:v>Status</x:v>
      </x:c>
      <x:c r="L4" s="10" t="str">
        <x:v>Acceptance state</x:v>
      </x:c>
    </x:row>
    <x:row r="5" ht="74" customHeight="1">
      <x:c r="A5" s="11" t="str">
        <x:v>F-001</x:v>
      </x:c>
      <x:c r="B5" s="17" t="n">
        <x:f>'Findings'!H5</x:f>
        <x:v>16</x:v>
      </x:c>
      <x:c r="C5" s="11" t="str">
        <x:v>Enforce MFA on every privileged path; remove exception or disable account; test support and emergency access.</x:v>
      </x:c>
      <x:c r="D5" s="11" t="str">
        <x:v>PeopleDesk Security Lead (fictional)</x:v>
      </x:c>
      <x:c r="E5" s="11" t="str">
        <x:v>Northstar Head of IT (fictional)</x:v>
      </x:c>
      <x:c r="F5" s="15" t="n">
        <x:v>46303</x:v>
      </x:c>
      <x:c r="G5" s="11" t="str">
        <x:v>Before renewal</x:v>
      </x:c>
      <x:c r="H5" s="11" t="str">
        <x:v>Complete admin inventory, enforcement export and sign-in/bypass checks.</x:v>
      </x:c>
      <x:c r="I5" s="17" t="n">
        <x:f>'Findings'!M5</x:f>
        <x:v>8</x:v>
      </x:c>
      <x:c r="J5" s="17" t="str">
        <x:f>'Findings'!N5</x:f>
        <x:v>Medium</x:v>
      </x:c>
      <x:c r="K5" s="17" t="str">
        <x:f>'Findings'!O5</x:f>
        <x:v>Open - proposed</x:v>
      </x:c>
      <x:c r="L5" s="11" t="str">
        <x:v>Not approved; proposed only</x:v>
      </x:c>
    </x:row>
    <x:row r="6" ht="74" customHeight="1">
      <x:c r="A6" s="4" t="str">
        <x:v>F-002</x:v>
      </x:c>
      <x:c r="B6" s="18" t="n">
        <x:f>'Findings'!H6</x:f>
        <x:v>8</x:v>
      </x:c>
      <x:c r="C6" s="4" t="str">
        <x:v>Review every material subprocessor; document locations and gaps; agree change notification, objection and exit arrangements.</x:v>
      </x:c>
      <x:c r="D6" s="4" t="str">
        <x:v>PeopleDesk Vendor Manager (fictional)</x:v>
      </x:c>
      <x:c r="E6" s="4" t="str">
        <x:v>Northstar Operations Lead (fictional)</x:v>
      </x:c>
      <x:c r="F6" s="16" t="n">
        <x:v>46333</x:v>
      </x:c>
      <x:c r="G6" s="4" t="str">
        <x:v>Post-renewal commitment</x:v>
      </x:c>
      <x:c r="H6" s="4" t="str">
        <x:v>Complete inventory, review records, approved exceptions and change process.</x:v>
      </x:c>
      <x:c r="I6" s="18" t="n">
        <x:f>'Findings'!M6</x:f>
        <x:v>4</x:v>
      </x:c>
      <x:c r="J6" s="18" t="str">
        <x:f>'Findings'!N6</x:f>
        <x:v>Low</x:v>
      </x:c>
      <x:c r="K6" s="18" t="str">
        <x:f>'Findings'!O6</x:f>
        <x:v>Open - proposed</x:v>
      </x:c>
      <x:c r="L6" s="4" t="str">
        <x:v>Not approved; proposed only</x:v>
      </x:c>
    </x:row>
    <x:row r="7" ht="74" customHeight="1">
      <x:c r="A7" s="11" t="str">
        <x:v>F-003</x:v>
      </x:c>
      <x:c r="B7" s="17" t="n">
        <x:f>'Findings'!H7</x:f>
        <x:v>12</x:v>
      </x:c>
      <x:c r="C7" s="11" t="str">
        <x:v>Exercise full restore and recovery; agree HR RTO/RPO; demonstrate manual payroll workaround.</x:v>
      </x:c>
      <x:c r="D7" s="11" t="str">
        <x:v>PeopleDesk Platform Lead (fictional)</x:v>
      </x:c>
      <x:c r="E7" s="11" t="str">
        <x:v>Northstar People Lead (fictional)</x:v>
      </x:c>
      <x:c r="F7" s="15" t="n">
        <x:v>46303</x:v>
      </x:c>
      <x:c r="G7" s="11" t="str">
        <x:v>Before renewal</x:v>
      </x:c>
      <x:c r="H7" s="11" t="str">
        <x:v>Timed recovery within agreed 24-hour RTO/RPO, record integrity checks and People Lead approval of a tested workaround.</x:v>
      </x:c>
      <x:c r="I7" s="17" t="n">
        <x:f>'Findings'!M7</x:f>
        <x:v>6</x:v>
      </x:c>
      <x:c r="J7" s="17" t="str">
        <x:f>'Findings'!N7</x:f>
        <x:v>Medium</x:v>
      </x:c>
      <x:c r="K7" s="17" t="str">
        <x:f>'Findings'!O7</x:f>
        <x:v>Open - proposed</x:v>
      </x:c>
      <x:c r="L7" s="11" t="str">
        <x:v>Not approved; proposed only</x:v>
      </x:c>
    </x:row>
    <x:row r="8" ht="74" customHeight="1">
      <x:c r="A8" s="4" t="str">
        <x:v>F-004</x:v>
      </x:c>
      <x:c r="B8" s="18" t="n">
        <x:f>'Findings'!H8</x:f>
        <x:v>8</x:v>
      </x:c>
      <x:c r="C8" s="4" t="str">
        <x:v>Complete immediate rights review, remove excess access and schedule quarterly independent sign-off.</x:v>
      </x:c>
      <x:c r="D8" s="4" t="str">
        <x:v>PeopleDesk IT Lead (fictional)</x:v>
      </x:c>
      <x:c r="E8" s="4" t="str">
        <x:v>Northstar Head of IT (fictional)</x:v>
      </x:c>
      <x:c r="F8" s="16" t="n">
        <x:v>46333</x:v>
      </x:c>
      <x:c r="G8" s="4" t="str">
        <x:v>Post-renewal commitment</x:v>
      </x:c>
      <x:c r="H8" s="4" t="str">
        <x:v>Completed review, resolved exceptions and assigned recurring review.</x:v>
      </x:c>
      <x:c r="I8" s="18" t="n">
        <x:f>'Findings'!M8</x:f>
        <x:v>4</x:v>
      </x:c>
      <x:c r="J8" s="18" t="str">
        <x:f>'Findings'!N8</x:f>
        <x:v>Low</x:v>
      </x:c>
      <x:c r="K8" s="18" t="str">
        <x:f>'Findings'!O8</x:f>
        <x:v>Open - proposed</x:v>
      </x:c>
      <x:c r="L8" s="4" t="str">
        <x:v>Not approved; proposed only</x:v>
      </x:c>
    </x:row>
    <x:row r="9" ht="74" customHeight="1">
      <x:c r="A9" s="11" t="str">
        <x:v>F-005</x:v>
      </x:c>
      <x:c r="B9" s="17" t="n">
        <x:f>'Findings'!H9</x:f>
        <x:v>12</x:v>
      </x:c>
      <x:c r="C9" s="11" t="str">
        <x:v>Agree trigger, initial notice within 24 hours of awareness of an incident affecting Northstar data/service, updates, cooperation and contacts.</x:v>
      </x:c>
      <x:c r="D9" s="11" t="str">
        <x:v>PeopleDesk Legal/Security (fictional)</x:v>
      </x:c>
      <x:c r="E9" s="11" t="str">
        <x:v>Northstar Operations Lead (fictional)</x:v>
      </x:c>
      <x:c r="F9" s="15" t="n">
        <x:v>46303</x:v>
      </x:c>
      <x:c r="G9" s="11" t="str">
        <x:v>Before renewal</x:v>
      </x:c>
      <x:c r="H9" s="11" t="str">
        <x:v>Agreed schedule and notification tabletop validating trigger, route and content.</x:v>
      </x:c>
      <x:c r="I9" s="17" t="n">
        <x:f>'Findings'!M9</x:f>
        <x:v>6</x:v>
      </x:c>
      <x:c r="J9" s="17" t="str">
        <x:f>'Findings'!N9</x:f>
        <x:v>Medium</x:v>
      </x:c>
      <x:c r="K9" s="17" t="str">
        <x:f>'Findings'!O9</x:f>
        <x:v>Open - proposed</x:v>
      </x:c>
      <x:c r="L9" s="11" t="str">
        <x:v>Not approved; proposed only</x:v>
      </x:c>
    </x:row>
    <x:row r="10" ht="74" customHeight="1">
      <x:c r="A10" s="4" t="str">
        <x:v>F-006</x:v>
      </x:c>
      <x:c r="B10" s="18" t="n">
        <x:f>'Findings'!H10</x:f>
        <x:v>12</x:v>
      </x:c>
      <x:c r="C10" s="4" t="str">
        <x:v>Stop raw extracts; use synthetic data; inventory/delete existing copies and retained exports; prevent reintroduction.</x:v>
      </x:c>
      <x:c r="D10" s="4" t="str">
        <x:v>PeopleDesk Engineering Lead (fictional)</x:v>
      </x:c>
      <x:c r="E10" s="4" t="str">
        <x:v>Northstar Security Lead (fictional)</x:v>
      </x:c>
      <x:c r="F10" s="16" t="n">
        <x:v>46303</x:v>
      </x:c>
      <x:c r="G10" s="4" t="str">
        <x:v>Before renewal</x:v>
      </x:c>
      <x:c r="H10" s="4" t="str">
        <x:v>Dataset inventory, deletion verification, synthetic fixtures and pipeline restriction test.</x:v>
      </x:c>
      <x:c r="I10" s="18" t="n">
        <x:f>'Findings'!M10</x:f>
        <x:v>3</x:v>
      </x:c>
      <x:c r="J10" s="18" t="str">
        <x:f>'Findings'!N10</x:f>
        <x:v>Low</x:v>
      </x:c>
      <x:c r="K10" s="18" t="str">
        <x:f>'Findings'!O10</x:f>
        <x:v>Open - proposed</x:v>
      </x:c>
      <x:c r="L10" s="4" t="str">
        <x:v>Not approved; proposed only</x:v>
      </x:c>
    </x:row>
    <x:row r="11" ht="74" customHeight="1">
      <x:c r="A11" s="11" t="str">
        <x:v>F-007</x:v>
      </x:c>
      <x:c r="B11" s="17" t="n">
        <x:f>'Findings'!H11</x:f>
        <x:v>8</x:v>
      </x:c>
      <x:c r="C11" s="11" t="str">
        <x:v>Review scopes, consent and credential lifecycle; restrict fields and test revocation. Keep new API disabled until verified.</x:v>
      </x:c>
      <x:c r="D11" s="11" t="str">
        <x:v>PeopleDesk Integration Lead (fictional)</x:v>
      </x:c>
      <x:c r="E11" s="11" t="str">
        <x:v>Northstar Head of IT (fictional)</x:v>
      </x:c>
      <x:c r="F11" s="15" t="n">
        <x:v>46333</x:v>
      </x:c>
      <x:c r="G11" s="11" t="str">
        <x:v>Integration activation gate</x:v>
      </x:c>
      <x:c r="H11" s="11" t="str">
        <x:v>Approved permission list, credential expiry/rotation records and revocation test.</x:v>
      </x:c>
      <x:c r="I11" s="17" t="n">
        <x:f>'Findings'!M11</x:f>
        <x:v>4</x:v>
      </x:c>
      <x:c r="J11" s="17" t="str">
        <x:f>'Findings'!N11</x:f>
        <x:v>Low</x:v>
      </x:c>
      <x:c r="K11" s="17" t="str">
        <x:f>'Findings'!O11</x:f>
        <x:v>Open - proposed</x:v>
      </x:c>
      <x:c r="L11" s="11" t="str">
        <x:v>Not approved; proposed only</x:v>
      </x:c>
    </x:row>
    <x:row r="12" ht="74" customHeight="1">
      <x:c r="A12" s="4" t="str">
        <x:v>F-008</x:v>
      </x:c>
      <x:c r="B12" s="18" t="n">
        <x:f>'Findings'!H12</x:f>
        <x:v>6</x:v>
      </x:c>
      <x:c r="C12" s="4" t="str">
        <x:v>Agree backup expiry, isolation and deletion proof; test export/exit; document valid retention exceptions.</x:v>
      </x:c>
      <x:c r="D12" s="4" t="str">
        <x:v>PeopleDesk Privacy Lead (fictional)</x:v>
      </x:c>
      <x:c r="E12" s="4" t="str">
        <x:v>Northstar People Lead (fictional)</x:v>
      </x:c>
      <x:c r="F12" s="16" t="n">
        <x:v>46333</x:v>
      </x:c>
      <x:c r="G12" s="4" t="str">
        <x:v>Post-renewal commitment</x:v>
      </x:c>
      <x:c r="H12" s="4" t="str">
        <x:v>Approved retention schedule, exit test and deletion confirmation including exceptions.</x:v>
      </x:c>
      <x:c r="I12" s="18" t="n">
        <x:f>'Findings'!M12</x:f>
        <x:v>3</x:v>
      </x:c>
      <x:c r="J12" s="18" t="str">
        <x:f>'Findings'!N12</x:f>
        <x:v>Low</x:v>
      </x:c>
      <x:c r="K12" s="18" t="str">
        <x:f>'Findings'!O12</x:f>
        <x:v>Open - proposed</x:v>
      </x:c>
      <x:c r="L12" s="4" t="str">
        <x:v>Not approved; proposed only</x:v>
      </x:c>
    </x:row>
  </x:sheetData>
  <x:mergeCells>
    <x:mergeCell ref="A1:L1"/>
    <x:mergeCell ref="A2:L2"/>
  </x:mergeCells>
  <x:conditionalFormatting sqref="B5:B12">
    <x:cfRule type="cellIs" dxfId="8" priority="1" operator="between">
      <x:formula>1</x:formula>
      <x:formula>4</x:formula>
    </x:cfRule>
    <x:cfRule type="cellIs" dxfId="9" priority="2" operator="between">
      <x:formula>5</x:formula>
      <x:formula>9</x:formula>
    </x:cfRule>
    <x:cfRule type="cellIs" dxfId="10" priority="3" operator="between">
      <x:formula>10</x:formula>
      <x:formula>16</x:formula>
    </x:cfRule>
    <x:cfRule type="cellIs" dxfId="11" priority="4" operator="between">
      <x:formula>17</x:formula>
      <x:formula>25</x:formula>
    </x:cfRule>
  </x:conditionalFormatting>
  <x:conditionalFormatting sqref="I5:I12">
    <x:cfRule type="cellIs" dxfId="12" priority="5" operator="between">
      <x:formula>1</x:formula>
      <x:formula>4</x:formula>
    </x:cfRule>
    <x:cfRule type="cellIs" dxfId="13" priority="6" operator="between">
      <x:formula>5</x:formula>
      <x:formula>9</x:formula>
    </x:cfRule>
    <x:cfRule type="cellIs" dxfId="14" priority="7" operator="between">
      <x:formula>10</x:formula>
      <x:formula>16</x:formula>
    </x:cfRule>
    <x:cfRule type="cellIs" dxfId="15" priority="8" operator="between">
      <x:formula>17</x:formula>
      <x:formula>25</x:formula>
    </x:cfRule>
  </x:conditionalFormatting>
  <x:pageMargins left="0.7" right="0.7" top="0.75" bottom="0.75" header="0.3" footer="0.3"/>
  <x:tableParts count="1">
    <x:tablePart xmlns:r="http://schemas.openxmlformats.org/officeDocument/2006/relationships" r:id="Reaa166518f9947d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33" hidden="0" customWidth="1"/>
    <x:col min="3" max="3" width="26" hidden="0" customWidth="1"/>
    <x:col min="4" max="4" width="103" hidden="0" customWidth="1"/>
    <x:col min="5" max="5" width="47" hidden="0" customWidth="1"/>
    <x:col min="6" max="6" width="30" hidden="0" customWidth="1"/>
  </x:cols>
  <x:sheetData>
    <x:row r="1" ht="36" customHeight="1">
      <x:c r="A1" s="7" t="str">
        <x:v>Conditional Approval | recommendation only</x:v>
      </x:c>
      <x:c r="B1" s="6"/>
      <x:c r="C1" s="6"/>
      <x:c r="D1" s="6"/>
      <x:c r="E1" s="6"/>
      <x:c r="F1" s="6"/>
    </x:row>
    <x:row r="2" ht="44" customHeight="1">
      <x:c r="A2" s="8" t="str">
        <x:v>Actual decision: PENDING. Do not interpret this recommendation or any task status as authorization to renew, expand processing or activate the API.</x:v>
      </x:c>
      <x:c r="B2" s="4"/>
      <x:c r="C2" s="4"/>
      <x:c r="D2" s="4"/>
      <x:c r="E2" s="4"/>
      <x:c r="F2" s="4"/>
    </x:row>
    <x:row r="3" ht="12" customHeight="1">
      <x:c r="A3" s="4"/>
      <x:c r="B3" s="4"/>
      <x:c r="C3" s="4"/>
      <x:c r="D3" s="4"/>
      <x:c r="E3" s="4"/>
      <x:c r="F3" s="4"/>
    </x:row>
    <x:row r="4" ht="42" customHeight="1">
      <x:c r="A4" s="10" t="str">
        <x:v>Gate ID</x:v>
      </x:c>
      <x:c r="B4" s="10" t="str">
        <x:v>Related findings</x:v>
      </x:c>
      <x:c r="C4" s="10" t="str">
        <x:v>Decision point</x:v>
      </x:c>
      <x:c r="D4" s="10" t="str">
        <x:v>Required condition</x:v>
      </x:c>
      <x:c r="E4" s="10" t="str">
        <x:v>Approver / reviewer (fictional)</x:v>
      </x:c>
      <x:c r="F4" s="10" t="str">
        <x:v>Decision state</x:v>
      </x:c>
    </x:row>
    <x:row r="5" ht="42" customHeight="1">
      <x:c r="A5" s="11" t="str">
        <x:v>G-01</x:v>
      </x:c>
      <x:c r="B5" s="11" t="str">
        <x:v>F-001; F-003; F-005; F-006</x:v>
      </x:c>
      <x:c r="C5" s="11" t="str">
        <x:v>Renewal approval</x:v>
      </x:c>
      <x:c r="D5" s="11" t="str">
        <x:v>Complete actions, verify closure evidence, rescore below 10 and obtain risk-owner acceptance. No renewal decision until verified.</x:v>
      </x:c>
      <x:c r="E5" s="11" t="str">
        <x:v>Security Lead + relevant owners; CTO decision</x:v>
      </x:c>
      <x:c r="F5" s="11" t="str">
        <x:v>Pending - not approved</x:v>
      </x:c>
    </x:row>
    <x:row r="6" ht="42" customHeight="1">
      <x:c r="A6" s="4" t="str">
        <x:v>G-02</x:v>
      </x:c>
      <x:c r="B6" s="4" t="str">
        <x:v>F-002; F-004; F-007; F-008</x:v>
      </x:c>
      <x:c r="C6" s="4" t="str">
        <x:v>Medium commitments</x:v>
      </x:c>
      <x:c r="D6" s="4" t="str">
        <x:v>Before renewal: agree named actions due 7 November, interim safeguards and owner acceptance; review weekly.</x:v>
      </x:c>
      <x:c r="E6" s="4" t="str">
        <x:v>Risk owners + Security Lead</x:v>
      </x:c>
      <x:c r="F6" s="4" t="str">
        <x:v>Pending - not approved</x:v>
      </x:c>
    </x:row>
    <x:row r="7" ht="42" customHeight="1">
      <x:c r="A7" s="11" t="str">
        <x:v>G-03</x:v>
      </x:c>
      <x:c r="B7" s="11" t="str">
        <x:v>F-007</x:v>
      </x:c>
      <x:c r="C7" s="11" t="str">
        <x:v>API activation</x:v>
      </x:c>
      <x:c r="D7" s="11" t="str">
        <x:v>Keep new integration disabled until full permissions, consent and credential revocation evidence pass.</x:v>
      </x:c>
      <x:c r="E7" s="11" t="str">
        <x:v>Head of IT</x:v>
      </x:c>
      <x:c r="F7" s="11" t="str">
        <x:v>Pending - not approved</x:v>
      </x:c>
    </x:row>
    <x:row r="8" ht="42" customHeight="1">
      <x:c r="A8" s="4" t="str">
        <x:v>G-04</x:v>
      </x:c>
      <x:c r="B8" s="4" t="str">
        <x:v>All / scope</x:v>
      </x:c>
      <x:c r="C8" s="4" t="str">
        <x:v>Commercial and privacy</x:v>
      </x:c>
      <x:c r="D8" s="4" t="str">
        <x:v>Resolve processing scope, locations/transfers, recovery needs, evidence rights and contract requirements before signature; obtain appropriate internal review.</x:v>
      </x:c>
      <x:c r="E8" s="4" t="str">
        <x:v>Operations Lead + People Lead; CTO decision</x:v>
      </x:c>
      <x:c r="F8" s="4" t="str">
        <x:v>Pending - not approved</x:v>
      </x:c>
    </x:row>
    <x:row r="9" ht="42" customHeight="1">
      <x:c r="A9" s="11" t="str">
        <x:v>G-05</x:v>
      </x:c>
      <x:c r="B9" s="11" t="str">
        <x:v>All open findings</x:v>
      </x:c>
      <x:c r="C9" s="11" t="str">
        <x:v>Existing use</x:v>
      </x:c>
      <x:c r="D9" s="11" t="str">
        <x:v>Obtain a separate limited continuity decision, with interim controls and expiry ≤30 days; otherwise prepare controlled export/exit. No automatic authorization to continue.</x:v>
      </x:c>
      <x:c r="E9" s="11" t="str">
        <x:v>CTO + People Lead</x:v>
      </x:c>
      <x:c r="F9" s="11" t="str">
        <x:v>Pending - not approved</x:v>
      </x:c>
    </x:row>
    <x:row r="10" ht="42" customHeight="1">
      <x:c r="A10" s="4" t="str">
        <x:v>G-06</x:v>
      </x:c>
      <x:c r="B10" s="4" t="str">
        <x:v>Overdue items / changes</x:v>
      </x:c>
      <x:c r="C10" s="4" t="str">
        <x:v>Escalation and monitoring</x:v>
      </x:c>
      <x:c r="D10" s="4" t="str">
        <x:v>Weekly remediation review; missed gates mean defer renewal and escalate, not silent acceptance. High-tier reassessment annually and on material change.</x:v>
      </x:c>
      <x:c r="E10" s="4" t="str">
        <x:v>Security Lead + CTO</x:v>
      </x:c>
      <x:c r="F10" s="4" t="str">
        <x:v>Pending - not approved</x:v>
      </x:c>
    </x:row>
  </x:sheetData>
  <x:mergeCells>
    <x:mergeCell ref="A1:F1"/>
    <x:mergeCell ref="A2:F2"/>
  </x:mergeCells>
  <x:pageMargins left="0.7" right="0.7" top="0.75" bottom="0.75" header="0.3" footer="0.3"/>
  <x:tableParts count="1">
    <x:tablePart xmlns:r="http://schemas.openxmlformats.org/officeDocument/2006/relationships" r:id="R9110846c3bd54ec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7" hidden="0" customWidth="1"/>
    <x:col min="2" max="2" width="37" hidden="0" customWidth="1"/>
    <x:col min="3" max="3" width="107" hidden="0" customWidth="1"/>
    <x:col min="4" max="4" width="54" hidden="0" customWidth="1"/>
  </x:cols>
  <x:sheetData>
    <x:row r="1" ht="36" customHeight="1">
      <x:c r="A1" s="7" t="str">
        <x:v>ISO/IEC 27001:2022 supplier-risk concepts</x:v>
      </x:c>
      <x:c r="B1" s="6"/>
      <x:c r="C1" s="6"/>
      <x:c r="D1" s="6"/>
    </x:row>
    <x:row r="2" ht="44" customHeight="1">
      <x:c r="A2" s="8" t="str">
        <x:v>Selected conceptual mapping only. Labels and reasoning are paraphrased; no full control text or certification assessment. See Sources.</x:v>
      </x:c>
      <x:c r="B2" s="4"/>
      <x:c r="C2" s="4"/>
      <x:c r="D2" s="4"/>
    </x:row>
    <x:row r="3" ht="12" customHeight="1">
      <x:c r="A3" s="4"/>
      <x:c r="B3" s="4"/>
      <x:c r="C3" s="4"/>
      <x:c r="D3" s="4"/>
    </x:row>
    <x:row r="4" ht="42" customHeight="1">
      <x:c r="A4" s="10" t="str">
        <x:v>Annex A ID</x:v>
      </x:c>
      <x:c r="B4" s="10" t="str">
        <x:v>Project label (paraphrase)</x:v>
      </x:c>
      <x:c r="C4" s="10" t="str">
        <x:v>Application to this assessment</x:v>
      </x:c>
      <x:c r="D4" s="10" t="str">
        <x:v>Related findings</x:v>
      </x:c>
    </x:row>
    <x:row r="5" ht="42" customHeight="1">
      <x:c r="A5" s="11" t="str">
        <x:v>A.5.19</x:v>
      </x:c>
      <x:c r="B5" s="11" t="str">
        <x:v>Vendor relationship safeguards</x:v>
      </x:c>
      <x:c r="C5" s="11" t="str">
        <x:v>Use the High inherent tier to set due-diligence depth, ownership and risk-based onboarding/renewal checks.</x:v>
      </x:c>
      <x:c r="D5" s="11" t="str">
        <x:v>F-001; F-002; F-003; F-004; F-006; F-007</x:v>
      </x:c>
    </x:row>
    <x:row r="6" ht="42" customHeight="1">
      <x:c r="A6" s="4" t="str">
        <x:v>A.5.20</x:v>
      </x:c>
      <x:c r="B6" s="4" t="str">
        <x:v>Supplier security commitments</x:v>
      </x:c>
      <x:c r="C6" s="4" t="str">
        <x:v>Put notification, recovery, evidence, onward processing and exit duties into agreed terms.</x:v>
      </x:c>
      <x:c r="D6" s="4" t="str">
        <x:v>F-002; F-003; F-005; F-008</x:v>
      </x:c>
    </x:row>
    <x:row r="7" ht="42" customHeight="1">
      <x:c r="A7" s="11" t="str">
        <x:v>A.5.21</x:v>
      </x:c>
      <x:c r="B7" s="11" t="str">
        <x:v>Fourth-party dependencies</x:v>
      </x:c>
      <x:c r="C7" s="11" t="str">
        <x:v>Trace HR data through subprocessors and require appropriate obligations and lifecycle controls.</x:v>
      </x:c>
      <x:c r="D7" s="11" t="str">
        <x:v>F-002; F-008</x:v>
      </x:c>
    </x:row>
    <x:row r="8" ht="42" customHeight="1">
      <x:c r="A8" s="4" t="str">
        <x:v>A.5.22</x:v>
      </x:c>
      <x:c r="B8" s="4" t="str">
        <x:v>Ongoing supplier oversight</x:v>
      </x:c>
      <x:c r="C8" s="4" t="str">
        <x:v>Reassess vendor/subprocessor changes and track remediation against dated commitments.</x:v>
      </x:c>
      <x:c r="D8" s="4" t="str">
        <x:v>F-002; F-004; all open findings</x:v>
      </x:c>
    </x:row>
    <x:row r="9" ht="42" customHeight="1">
      <x:c r="A9" s="11" t="str">
        <x:v>A.5.23</x:v>
      </x:c>
      <x:c r="B9" s="11" t="str">
        <x:v>Cloud service responsibilities</x:v>
      </x:c>
      <x:c r="C9" s="11" t="str">
        <x:v>Clarify vendor/customer responsibilities for identity, HR information, recovery and service exit.</x:v>
      </x:c>
      <x:c r="D9" s="11" t="str">
        <x:v>F-001; F-003; F-005; F-006; F-007; F-008</x:v>
      </x:c>
    </x:row>
  </x:sheetData>
  <x:mergeCells>
    <x:mergeCell ref="A1:D1"/>
    <x:mergeCell ref="A2:D2"/>
  </x:mergeCells>
  <x:pageMargins left="0.7" right="0.7" top="0.75" bottom="0.75" header="0.3" footer="0.3"/>
  <x:tableParts count="1">
    <x:tablePart xmlns:r="http://schemas.openxmlformats.org/officeDocument/2006/relationships" r:id="R74a935e208db459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55" hidden="0" customWidth="1"/>
    <x:col min="3" max="3" width="106" hidden="0" customWidth="1"/>
    <x:col min="4" max="4" width="79" hidden="0" customWidth="1"/>
  </x:cols>
  <x:sheetData>
    <x:row r="1" ht="36" customHeight="1">
      <x:c r="A1" s="7" t="str">
        <x:v>Sources and provenance</x:v>
      </x:c>
      <x:c r="B1" s="6"/>
      <x:c r="C1" s="6"/>
      <x:c r="D1" s="6"/>
    </x:row>
    <x:row r="2" ht="44" customHeight="1">
      <x:c r="A2" s="8" t="str">
        <x:v>Independent portfolio exercise based on fictional organizations. No real vendor assessment, client engagement or assurance review took place.</x:v>
      </x:c>
      <x:c r="B2" s="4"/>
      <x:c r="C2" s="4"/>
      <x:c r="D2" s="4"/>
    </x:row>
    <x:row r="3" ht="12" customHeight="1">
      <x:c r="A3" s="4"/>
      <x:c r="B3" s="4"/>
      <x:c r="C3" s="4"/>
      <x:c r="D3" s="4"/>
    </x:row>
    <x:row r="4" ht="42" customHeight="1">
      <x:c r="A4" s="10" t="str">
        <x:v>ID</x:v>
      </x:c>
      <x:c r="B4" s="10" t="str">
        <x:v>Source</x:v>
      </x:c>
      <x:c r="C4" s="10" t="str">
        <x:v>URL / provenance</x:v>
      </x:c>
      <x:c r="D4" s="10" t="str">
        <x:v>Use and limitation</x:v>
      </x:c>
    </x:row>
    <x:row r="5" ht="42" customHeight="1">
      <x:c r="A5" s="11" t="str">
        <x:v>S-01</x:v>
      </x:c>
      <x:c r="B5" s="11" t="str">
        <x:v>ISO/IEC 27001:2022 overview</x:v>
      </x:c>
      <x:c r="C5" s="11" t="str">
        <x:v>https://www.iso.org/standard/27001</x:v>
      </x:c>
      <x:c r="D5" s="11" t="str">
        <x:v>ISMS context; no conformity conclusion.</x:v>
      </x:c>
    </x:row>
    <x:row r="6" ht="42" customHeight="1">
      <x:c r="A6" s="4" t="str">
        <x:v>S-02</x:v>
      </x:c>
      <x:c r="B6" s="4" t="str">
        <x:v>Enterprise Singapore authorized ISO/IEC 27002:2022 adoption preview</x:v>
      </x:c>
      <x:c r="C6" s="4" t="str">
        <x:v>https://www.singaporestandardseshop.sg/Product/GetPdf?fileName=231116124446SS+ISO+IEC+27002-2023+Preview.pdf&amp;pdtid=c6ae6165-880f-4c5e-ac35-96eee6d14796</x:v>
      </x:c>
      <x:c r="D6" s="4" t="str">
        <x:v>Contents: verify 5.19–5.23 identifiers/topics. No real vendor assurance verified. Accessed 8 September 2026.</x:v>
      </x:c>
    </x:row>
    <x:row r="7" ht="42" customHeight="1">
      <x:c r="A7" s="11" t="str">
        <x:v>SC-01</x:v>
      </x:c>
      <x:c r="B7" s="11" t="str">
        <x:v>User brief and original illustrative analysis</x:v>
      </x:c>
      <x:c r="C7" s="11" t="str">
        <x:v>Project 2 PeopleDesk brief; Project 1 Northstar context</x:v>
      </x:c>
      <x:c r="D7" s="11" t="str">
        <x:v>All claims, received states, reviews, scores and dates are simulated. No certificate/report artifacts fabricated.</x:v>
      </x:c>
    </x:row>
  </x:sheetData>
  <x:mergeCells>
    <x:mergeCell ref="A1:D1"/>
    <x:mergeCell ref="A2:D2"/>
  </x:mergeCells>
  <x:pageMargins left="0.7" right="0.7" top="0.75" bottom="0.75" header="0.3" footer="0.3"/>
  <x:tableParts count="1">
    <x:tablePart xmlns:r="http://schemas.openxmlformats.org/officeDocument/2006/relationships" r:id="Rf8242358321e4935"/>
  </x:tableParts>
</x:worksheet>
</file>